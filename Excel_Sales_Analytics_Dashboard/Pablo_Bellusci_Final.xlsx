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blo\Desktop\Coderhouse\Excel\"/>
    </mc:Choice>
  </mc:AlternateContent>
  <xr:revisionPtr revIDLastSave="0" documentId="13_ncr:1_{D414F3C1-8422-46B6-8AD0-E0B28B66C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5" r:id="rId1"/>
    <sheet name="Tablas_Dinamicas" sheetId="13" r:id="rId2"/>
    <sheet name="Dataset_Principal" sheetId="1" r:id="rId3"/>
    <sheet name="Cat_Productos" sheetId="2" r:id="rId4"/>
    <sheet name="Cat_Clientes" sheetId="3" r:id="rId5"/>
    <sheet name="Fact_Objetivos" sheetId="4" r:id="rId6"/>
    <sheet name="Documentación" sheetId="11" r:id="rId7"/>
  </sheets>
  <definedNames>
    <definedName name="SegmentaciónDeDatos_Categoria_Agrupador">#N/A</definedName>
    <definedName name="SegmentaciónDeDatos_Region_Geografica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876F7934-8845-4945-9796-88D515C7AA90}">
      <x14:pivotCaches>
        <pivotCache cacheId="2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bl_Objetivos_946062a4-c8a6-4792-9648-8607ab8a5421" name="tbl_Objetivos" connection="Consulta - tbl_Objetivos"/>
          <x15:modelTable id="tbl_Productos_fca2bdb6-6326-4d95-986c-c7f18d062dce" name="tbl_Productos" connection="Consulta - tbl_Productos"/>
          <x15:modelTable id="tbl_Ventas_8c0af33b-9621-4bb7-a0bb-0c6f7cb476ad" name="tbl_Ventas" connection="Consulta - tbl_Ventas"/>
          <x15:modelTable id="tbl_Clientes_198051c4-fe10-4091-b7fb-2e11f438bed0" name="tbl_Clientes" connection="Consulta - tbl_Clientes"/>
        </x15:modelTables>
        <x15:modelRelationships>
          <x15:modelRelationship fromTable="tbl_Ventas" fromColumn="SKU_Codigo_Ref" toTable="tbl_Productos" toColumn="SKU_Clave"/>
          <x15:modelRelationship fromTable="tbl_Ventas" fromColumn="ID_Cliente_Ref" toTable="tbl_Clientes" toColumn="ID_Cliente_Clav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lJyNPDqowgmXdzila7OjJ4xBfY4j1twr9YEx5+djT/Y="/>
    </ext>
  </extLst>
</workbook>
</file>

<file path=xl/calcChain.xml><?xml version="1.0" encoding="utf-8"?>
<calcChain xmlns="http://schemas.openxmlformats.org/spreadsheetml/2006/main">
  <c r="A5" i="15" l="1"/>
  <c r="C5" i="15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47622-EDBB-499D-9C44-8E5742DACE05}" keepAlive="1" name="Consulta - q_Clientes_Transaccion" description="Conexión a la consulta 'q_Clientes_Transaccion' en el libro." type="5" refreshedVersion="0" background="1">
    <dbPr connection="Provider=Microsoft.Mashup.OleDb.1;Data Source=$Workbook$;Location=q_Clientes_Transaccion;Extended Properties=&quot;&quot;" command="SELECT * FROM [q_Clientes_Transaccion]"/>
  </connection>
  <connection id="2" xr16:uid="{0F42F9B5-F04A-49B9-93CB-C4A2FE233E04}" keepAlive="1" name="Consulta - q_Control_Clientes" description="Conexión a la consulta 'q_Control_Clientes' en el libro." type="5" refreshedVersion="0" background="1">
    <dbPr connection="Provider=Microsoft.Mashup.OleDb.1;Data Source=$Workbook$;Location=q_Control_Clientes;Extended Properties=&quot;&quot;" command="SELECT * FROM [q_Control_Clientes]"/>
  </connection>
  <connection id="3" xr16:uid="{B70769AF-1AA0-4D4E-B4D8-82DC0D4F395B}" keepAlive="1" name="Consulta - q_Ventas_Control" description="Conexión a la consulta 'q_Ventas_Control' en el libro." type="5" refreshedVersion="0" background="1">
    <dbPr connection="Provider=Microsoft.Mashup.OleDb.1;Data Source=$Workbook$;Location=q_Ventas_Control;Extended Properties=&quot;&quot;" command="SELECT * FROM [q_Ventas_Control]"/>
  </connection>
  <connection id="4" xr16:uid="{EFE5E15F-F43D-48E9-A362-B49C8726B3E7}" name="Consulta - tbl_Clientes" description="Conexión a la consulta 'tbl_Clientes' en el libro." type="100" refreshedVersion="7" minRefreshableVersion="5">
    <extLst>
      <ext xmlns:x15="http://schemas.microsoft.com/office/spreadsheetml/2010/11/main" uri="{DE250136-89BD-433C-8126-D09CA5730AF9}">
        <x15:connection id="15c7061f-6d53-492f-bf58-f51e155d1fb5"/>
      </ext>
    </extLst>
  </connection>
  <connection id="5" xr16:uid="{9C10BC24-6E93-4D65-B622-A2B97473BF59}" name="Consulta - tbl_Objetivos" description="Conexión a la consulta 'tbl_Objetivos' en el libro." type="100" refreshedVersion="7" minRefreshableVersion="5">
    <extLst>
      <ext xmlns:x15="http://schemas.microsoft.com/office/spreadsheetml/2010/11/main" uri="{DE250136-89BD-433C-8126-D09CA5730AF9}">
        <x15:connection id="a4b896ba-6f3a-494a-957a-98b99158dce0"/>
      </ext>
    </extLst>
  </connection>
  <connection id="6" xr16:uid="{A256FEFE-22DE-4597-8885-1535D6AF8A59}" name="Consulta - tbl_Productos" description="Conexión a la consulta 'tbl_Productos' en el libro." type="100" refreshedVersion="7" minRefreshableVersion="5">
    <extLst>
      <ext xmlns:x15="http://schemas.microsoft.com/office/spreadsheetml/2010/11/main" uri="{DE250136-89BD-433C-8126-D09CA5730AF9}">
        <x15:connection id="27055501-de3d-4f62-9ff0-0d7321e3ae37"/>
      </ext>
    </extLst>
  </connection>
  <connection id="7" xr16:uid="{E07A912D-F33F-4A66-82DF-41D4D053A398}" name="Consulta - tbl_Ventas" description="Conexión a la consulta 'tbl_Ventas' en el libro." type="100" refreshedVersion="7" minRefreshableVersion="5">
    <extLst>
      <ext xmlns:x15="http://schemas.microsoft.com/office/spreadsheetml/2010/11/main" uri="{DE250136-89BD-433C-8126-D09CA5730AF9}">
        <x15:connection id="43729adf-a526-42f1-be87-aec68369c6d3"/>
      </ext>
    </extLst>
  </connection>
  <connection id="8" xr16:uid="{3E083962-6FD3-4D00-80C0-D47921043809}" keepAlive="1" name="Consulta - tbl_Ventas (2)" description="Conexión a la consulta 'tbl_Ventas (2)' en el libro." type="5" refreshedVersion="7" background="1" saveData="1">
    <dbPr connection="Provider=Microsoft.Mashup.OleDb.1;Data Source=$Workbook$;Location=&quot;tbl_Ventas (2)&quot;;Extended Properties=&quot;&quot;" command="SELECT * FROM [tbl_Ventas (2)]"/>
  </connection>
  <connection id="9" xr16:uid="{85B7AAC6-5526-4DEE-981F-E08C9FF52C2A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<sst xmlns="http://schemas.openxmlformats.org/spreadsheetml/2006/main" count="1641" uniqueCount="563">
  <si>
    <t>TX-100078</t>
  </si>
  <si>
    <t>HOGA-02</t>
  </si>
  <si>
    <t>CLI-004</t>
  </si>
  <si>
    <t>TX-101399</t>
  </si>
  <si>
    <t>Mes_Num</t>
  </si>
  <si>
    <t>ELEC-02</t>
  </si>
  <si>
    <t>TX-101937</t>
  </si>
  <si>
    <t>ELEC-01</t>
  </si>
  <si>
    <t>Categoria_Agrupador</t>
  </si>
  <si>
    <t>Meta_Financiera</t>
  </si>
  <si>
    <t>Electrónica</t>
  </si>
  <si>
    <t>TX-102132</t>
  </si>
  <si>
    <t>HOGA-01</t>
  </si>
  <si>
    <t>CLI-003</t>
  </si>
  <si>
    <t>Línea Blanca</t>
  </si>
  <si>
    <t>TX-102309</t>
  </si>
  <si>
    <t>LBLA-01</t>
  </si>
  <si>
    <t>CLI-005</t>
  </si>
  <si>
    <t>SKU_Clave</t>
  </si>
  <si>
    <t>ID_Cliente_Clave</t>
  </si>
  <si>
    <t>TX-102358</t>
  </si>
  <si>
    <t>Tecnología</t>
  </si>
  <si>
    <t>TECN-01</t>
  </si>
  <si>
    <t>TX-102417</t>
  </si>
  <si>
    <t>Hogar</t>
  </si>
  <si>
    <t>CLI-001</t>
  </si>
  <si>
    <t>TX-102427</t>
  </si>
  <si>
    <t>TX-102474</t>
  </si>
  <si>
    <t>TX-102840</t>
  </si>
  <si>
    <t>TX-102881</t>
  </si>
  <si>
    <t>TX-103908</t>
  </si>
  <si>
    <t>TX-104244</t>
  </si>
  <si>
    <t>TX-104918</t>
  </si>
  <si>
    <t>LBLA-02</t>
  </si>
  <si>
    <t>TX-105411</t>
  </si>
  <si>
    <t>TX-105985</t>
  </si>
  <si>
    <t>TX-107453</t>
  </si>
  <si>
    <t>Nombre_RazonSocial</t>
  </si>
  <si>
    <t>Producto_Descripcion</t>
  </si>
  <si>
    <t>TX-108469</t>
  </si>
  <si>
    <t>Region_Geografica</t>
  </si>
  <si>
    <t>TX-108474</t>
  </si>
  <si>
    <t>TX-109024</t>
  </si>
  <si>
    <t>TX-109948</t>
  </si>
  <si>
    <t>TX-110219</t>
  </si>
  <si>
    <t>TV Smart 55</t>
  </si>
  <si>
    <t>Juan Pérez</t>
  </si>
  <si>
    <t>TX-110318</t>
  </si>
  <si>
    <t>Buenos Aires</t>
  </si>
  <si>
    <t>TX-110871</t>
  </si>
  <si>
    <t>TX-111445</t>
  </si>
  <si>
    <t>CLI-002</t>
  </si>
  <si>
    <t>Microondas 20L</t>
  </si>
  <si>
    <t>María Rodríguez</t>
  </si>
  <si>
    <t>TX-111955</t>
  </si>
  <si>
    <t>Córdoba</t>
  </si>
  <si>
    <t>TX-111959</t>
  </si>
  <si>
    <t>TX-112055</t>
  </si>
  <si>
    <t>Lavarropas Automático</t>
  </si>
  <si>
    <t>TX-112802</t>
  </si>
  <si>
    <t>Carlos Gómez</t>
  </si>
  <si>
    <t>Mendoza</t>
  </si>
  <si>
    <t>TX-113654</t>
  </si>
  <si>
    <t>Heladera No Frost</t>
  </si>
  <si>
    <t>TX-114266</t>
  </si>
  <si>
    <t>TX-114468</t>
  </si>
  <si>
    <t>Ana Martínez</t>
  </si>
  <si>
    <t>TX-115222</t>
  </si>
  <si>
    <t>Celular Smartphone</t>
  </si>
  <si>
    <t>TX-115380</t>
  </si>
  <si>
    <t>TX-117458</t>
  </si>
  <si>
    <t>TECN-02</t>
  </si>
  <si>
    <t>Notebook Pro</t>
  </si>
  <si>
    <t>TX-118504</t>
  </si>
  <si>
    <t>Luis Fernández</t>
  </si>
  <si>
    <t>TX-118574</t>
  </si>
  <si>
    <t>TX-119923</t>
  </si>
  <si>
    <t>TX-120093</t>
  </si>
  <si>
    <t>Cafetera Express</t>
  </si>
  <si>
    <t>TX-120638</t>
  </si>
  <si>
    <t>TX-120698</t>
  </si>
  <si>
    <t>Aspiradora Robot</t>
  </si>
  <si>
    <t>TX-120738</t>
  </si>
  <si>
    <t>TX-121067</t>
  </si>
  <si>
    <t>TX-121108</t>
  </si>
  <si>
    <t>TX-121167</t>
  </si>
  <si>
    <t>TX-121489</t>
  </si>
  <si>
    <t>TX-121662</t>
  </si>
  <si>
    <t>TX-121811</t>
  </si>
  <si>
    <t>TX-100631</t>
  </si>
  <si>
    <t>TX-101436</t>
  </si>
  <si>
    <t>TX-102051</t>
  </si>
  <si>
    <t>TX-102505</t>
  </si>
  <si>
    <t>TX-102586</t>
  </si>
  <si>
    <t>TX-102916</t>
  </si>
  <si>
    <t>TX-103916</t>
  </si>
  <si>
    <t>TX-104153</t>
  </si>
  <si>
    <t>TX-104241</t>
  </si>
  <si>
    <t>TX-104319</t>
  </si>
  <si>
    <t>TX-104871</t>
  </si>
  <si>
    <t>TX-104975</t>
  </si>
  <si>
    <t>TX-105170</t>
  </si>
  <si>
    <t>TX-105395</t>
  </si>
  <si>
    <t>TX-105672</t>
  </si>
  <si>
    <t>TX-106682</t>
  </si>
  <si>
    <t>TX-106688</t>
  </si>
  <si>
    <t>TX-107870</t>
  </si>
  <si>
    <t>TX-108108</t>
  </si>
  <si>
    <t>TX-108118</t>
  </si>
  <si>
    <t>TX-108381</t>
  </si>
  <si>
    <t>TX-109037</t>
  </si>
  <si>
    <t>TX-109223</t>
  </si>
  <si>
    <t>TX-109355</t>
  </si>
  <si>
    <t>TX-109362</t>
  </si>
  <si>
    <t>TX-109593</t>
  </si>
  <si>
    <t>TX-109935</t>
  </si>
  <si>
    <t>TX-110120</t>
  </si>
  <si>
    <t>TX-110414</t>
  </si>
  <si>
    <t>TX-110812</t>
  </si>
  <si>
    <t>TX-110828</t>
  </si>
  <si>
    <t>TX-111110</t>
  </si>
  <si>
    <t>TX-111245</t>
  </si>
  <si>
    <t>TX-111734</t>
  </si>
  <si>
    <t>TX-112278</t>
  </si>
  <si>
    <t>TX-112698</t>
  </si>
  <si>
    <t>TX-113256</t>
  </si>
  <si>
    <t>TX-113266</t>
  </si>
  <si>
    <t>TX-113548</t>
  </si>
  <si>
    <t>TX-114019</t>
  </si>
  <si>
    <t>TX-114110</t>
  </si>
  <si>
    <t>TX-114134</t>
  </si>
  <si>
    <t>TX-114277</t>
  </si>
  <si>
    <t>TX-114497</t>
  </si>
  <si>
    <t>TX-114904</t>
  </si>
  <si>
    <t>TX-115203</t>
  </si>
  <si>
    <t>TX-115985</t>
  </si>
  <si>
    <t>TX-116300</t>
  </si>
  <si>
    <t>TX-116699</t>
  </si>
  <si>
    <t>TX-116735</t>
  </si>
  <si>
    <t>TX-116749</t>
  </si>
  <si>
    <t>TX-117320</t>
  </si>
  <si>
    <t>TX-118281</t>
  </si>
  <si>
    <t>TX-118629</t>
  </si>
  <si>
    <t>TX-119082</t>
  </si>
  <si>
    <t>TX-119222</t>
  </si>
  <si>
    <t>TX-119328</t>
  </si>
  <si>
    <t>TX-119613</t>
  </si>
  <si>
    <t>TX-120284</t>
  </si>
  <si>
    <t>TX-120454</t>
  </si>
  <si>
    <t>TX-120755</t>
  </si>
  <si>
    <t>TX-121298</t>
  </si>
  <si>
    <t>TX-121363</t>
  </si>
  <si>
    <t>TX-121655</t>
  </si>
  <si>
    <t>TX-100147</t>
  </si>
  <si>
    <t>TX-101130</t>
  </si>
  <si>
    <t>TX-102263</t>
  </si>
  <si>
    <t>TX-102299</t>
  </si>
  <si>
    <t>TX-102385</t>
  </si>
  <si>
    <t>TX-102765</t>
  </si>
  <si>
    <t>TX-103147</t>
  </si>
  <si>
    <t>TX-103624</t>
  </si>
  <si>
    <t>TX-103757</t>
  </si>
  <si>
    <t>TX-104110</t>
  </si>
  <si>
    <t>TX-104125</t>
  </si>
  <si>
    <t>TX-104640</t>
  </si>
  <si>
    <t>TX-104869</t>
  </si>
  <si>
    <t>TX-105141</t>
  </si>
  <si>
    <t>TX-105196</t>
  </si>
  <si>
    <t>TX-105661</t>
  </si>
  <si>
    <t>TX-105704</t>
  </si>
  <si>
    <t>TX-106964</t>
  </si>
  <si>
    <t>TX-107313</t>
  </si>
  <si>
    <t>TX-107378</t>
  </si>
  <si>
    <t>TX-107430</t>
  </si>
  <si>
    <t>TX-108030</t>
  </si>
  <si>
    <t>TX-108075</t>
  </si>
  <si>
    <t>TX-108892</t>
  </si>
  <si>
    <t>TX-109092</t>
  </si>
  <si>
    <t>TX-110142</t>
  </si>
  <si>
    <t>TX-110167</t>
  </si>
  <si>
    <t>TX-110469</t>
  </si>
  <si>
    <t>TX-110481</t>
  </si>
  <si>
    <t>TX-110878</t>
  </si>
  <si>
    <t>TX-110911</t>
  </si>
  <si>
    <t>TX-111208</t>
  </si>
  <si>
    <t>TX-111231</t>
  </si>
  <si>
    <t>TX-111621</t>
  </si>
  <si>
    <t>TX-112409</t>
  </si>
  <si>
    <t>TX-112458</t>
  </si>
  <si>
    <t>TX-112854</t>
  </si>
  <si>
    <t>TX-112891</t>
  </si>
  <si>
    <t>TX-113121</t>
  </si>
  <si>
    <t>TX-114893</t>
  </si>
  <si>
    <t>TX-115346</t>
  </si>
  <si>
    <t>TX-115404</t>
  </si>
  <si>
    <t>TX-115586</t>
  </si>
  <si>
    <t>TX-115607</t>
  </si>
  <si>
    <t>TX-115973</t>
  </si>
  <si>
    <t>TX-116181</t>
  </si>
  <si>
    <t>TX-116197</t>
  </si>
  <si>
    <t>TX-117328</t>
  </si>
  <si>
    <t>TX-117499</t>
  </si>
  <si>
    <t>TX-117879</t>
  </si>
  <si>
    <t>TX-117968</t>
  </si>
  <si>
    <t>TX-118658</t>
  </si>
  <si>
    <t>TX-118841</t>
  </si>
  <si>
    <t>TX-119607</t>
  </si>
  <si>
    <t>TX-119932</t>
  </si>
  <si>
    <t>TX-119981</t>
  </si>
  <si>
    <t>TX-119986</t>
  </si>
  <si>
    <t>TX-120151</t>
  </si>
  <si>
    <t>TX-120733</t>
  </si>
  <si>
    <t>TX-120821</t>
  </si>
  <si>
    <t>TX-121499</t>
  </si>
  <si>
    <t>TX-121561</t>
  </si>
  <si>
    <t>TX-121648</t>
  </si>
  <si>
    <t>TX-121936</t>
  </si>
  <si>
    <t>TX-100842</t>
  </si>
  <si>
    <t>TX-100891</t>
  </si>
  <si>
    <t>TX-101348</t>
  </si>
  <si>
    <t>TX-102297</t>
  </si>
  <si>
    <t>TX-102464</t>
  </si>
  <si>
    <t>TX-102489</t>
  </si>
  <si>
    <t>TX-102886</t>
  </si>
  <si>
    <t>TX-103235</t>
  </si>
  <si>
    <t>TX-103577</t>
  </si>
  <si>
    <t>TX-105631</t>
  </si>
  <si>
    <t>TX-105706</t>
  </si>
  <si>
    <t>TX-106220</t>
  </si>
  <si>
    <t>TX-106319</t>
  </si>
  <si>
    <t>TX-106413</t>
  </si>
  <si>
    <t>TX-106711</t>
  </si>
  <si>
    <t>TX-106762</t>
  </si>
  <si>
    <t>TX-106856</t>
  </si>
  <si>
    <t>TX-106890</t>
  </si>
  <si>
    <t>TX-106928</t>
  </si>
  <si>
    <t>TX-107334</t>
  </si>
  <si>
    <t>TX-108062</t>
  </si>
  <si>
    <t>TX-108249</t>
  </si>
  <si>
    <t>TX-108981</t>
  </si>
  <si>
    <t>TX-109547</t>
  </si>
  <si>
    <t>TX-110150</t>
  </si>
  <si>
    <t>TX-110782</t>
  </si>
  <si>
    <t>TX-111386</t>
  </si>
  <si>
    <t>TX-113397</t>
  </si>
  <si>
    <t>TX-113713</t>
  </si>
  <si>
    <t>TX-114147</t>
  </si>
  <si>
    <t>TX-114169</t>
  </si>
  <si>
    <t>TX-114408</t>
  </si>
  <si>
    <t>TX-114520</t>
  </si>
  <si>
    <t>TX-114934</t>
  </si>
  <si>
    <t>TX-115021</t>
  </si>
  <si>
    <t>TX-115310</t>
  </si>
  <si>
    <t>TX-115437</t>
  </si>
  <si>
    <t>TX-115507</t>
  </si>
  <si>
    <t>TX-116196</t>
  </si>
  <si>
    <t>TX-116419</t>
  </si>
  <si>
    <t>TX-116495</t>
  </si>
  <si>
    <t>TX-116969</t>
  </si>
  <si>
    <t>TX-117122</t>
  </si>
  <si>
    <t>TX-117637</t>
  </si>
  <si>
    <t>TX-118221</t>
  </si>
  <si>
    <t>TX-119765</t>
  </si>
  <si>
    <t>TX-121802</t>
  </si>
  <si>
    <t>TX-121838</t>
  </si>
  <si>
    <t>TX-100029</t>
  </si>
  <si>
    <t>TX-100273</t>
  </si>
  <si>
    <t>TX-100444</t>
  </si>
  <si>
    <t>TX-100573</t>
  </si>
  <si>
    <t>TX-100886</t>
  </si>
  <si>
    <t>TX-101792</t>
  </si>
  <si>
    <t>TX-101845</t>
  </si>
  <si>
    <t>TX-101986</t>
  </si>
  <si>
    <t>TX-102097</t>
  </si>
  <si>
    <t>TX-102116</t>
  </si>
  <si>
    <t>TX-102593</t>
  </si>
  <si>
    <t>TX-103289</t>
  </si>
  <si>
    <t>TX-103799</t>
  </si>
  <si>
    <t>TX-103951</t>
  </si>
  <si>
    <t>TX-104238</t>
  </si>
  <si>
    <t>TX-104906</t>
  </si>
  <si>
    <t>TX-105711</t>
  </si>
  <si>
    <t>TX-106410</t>
  </si>
  <si>
    <t>TX-106995</t>
  </si>
  <si>
    <t>TX-107038</t>
  </si>
  <si>
    <t>TX-107495</t>
  </si>
  <si>
    <t>TX-107884</t>
  </si>
  <si>
    <t>TX-108154</t>
  </si>
  <si>
    <t>TX-108585</t>
  </si>
  <si>
    <t>TX-108867</t>
  </si>
  <si>
    <t>TX-109184</t>
  </si>
  <si>
    <t>TX-109573</t>
  </si>
  <si>
    <t>TX-109758</t>
  </si>
  <si>
    <t>TX-109892</t>
  </si>
  <si>
    <t>TX-110466</t>
  </si>
  <si>
    <t>TX-111184</t>
  </si>
  <si>
    <t>TX-111714</t>
  </si>
  <si>
    <t>TX-112104</t>
  </si>
  <si>
    <t>TX-112173</t>
  </si>
  <si>
    <t>TX-112287</t>
  </si>
  <si>
    <t>TX-112330</t>
  </si>
  <si>
    <t>TX-112366</t>
  </si>
  <si>
    <t>TX-112410</t>
  </si>
  <si>
    <t>TX-114718</t>
  </si>
  <si>
    <t>TX-115549</t>
  </si>
  <si>
    <t>TX-116694</t>
  </si>
  <si>
    <t>TX-117248</t>
  </si>
  <si>
    <t>TX-117304</t>
  </si>
  <si>
    <t>TX-117345</t>
  </si>
  <si>
    <t>TX-117471</t>
  </si>
  <si>
    <t>TX-117762</t>
  </si>
  <si>
    <t>TX-118070</t>
  </si>
  <si>
    <t>TX-118151</t>
  </si>
  <si>
    <t>TX-118563</t>
  </si>
  <si>
    <t>TX-118693</t>
  </si>
  <si>
    <t>TX-118755</t>
  </si>
  <si>
    <t>TX-119029</t>
  </si>
  <si>
    <t>TX-119060</t>
  </si>
  <si>
    <t>TX-119103</t>
  </si>
  <si>
    <t>TX-119893</t>
  </si>
  <si>
    <t>TX-120633</t>
  </si>
  <si>
    <t>TX-121074</t>
  </si>
  <si>
    <t>TX-121280</t>
  </si>
  <si>
    <t>TX-121500</t>
  </si>
  <si>
    <t>TX-121546</t>
  </si>
  <si>
    <t>TX-100784</t>
  </si>
  <si>
    <t>TX-100995</t>
  </si>
  <si>
    <t>TX-102519</t>
  </si>
  <si>
    <t>TX-103119</t>
  </si>
  <si>
    <t>TX-103136</t>
  </si>
  <si>
    <t>TX-103407</t>
  </si>
  <si>
    <t>TX-103870</t>
  </si>
  <si>
    <t>TX-104609</t>
  </si>
  <si>
    <t>TX-105899</t>
  </si>
  <si>
    <t>TX-106206</t>
  </si>
  <si>
    <t>TX-106460</t>
  </si>
  <si>
    <t>TX-106872</t>
  </si>
  <si>
    <t>TX-106939</t>
  </si>
  <si>
    <t>TX-107180</t>
  </si>
  <si>
    <t>TX-107620</t>
  </si>
  <si>
    <t>TX-107652</t>
  </si>
  <si>
    <t>TX-108723</t>
  </si>
  <si>
    <t>TX-109428</t>
  </si>
  <si>
    <t>TX-109486</t>
  </si>
  <si>
    <t>TX-110487</t>
  </si>
  <si>
    <t>TX-110529</t>
  </si>
  <si>
    <t>TX-110531</t>
  </si>
  <si>
    <t>TX-111451</t>
  </si>
  <si>
    <t>TX-112933</t>
  </si>
  <si>
    <t>TX-113119</t>
  </si>
  <si>
    <t>TX-113862</t>
  </si>
  <si>
    <t>TX-113867</t>
  </si>
  <si>
    <t>TX-114270</t>
  </si>
  <si>
    <t>TX-114688</t>
  </si>
  <si>
    <t>TX-115468</t>
  </si>
  <si>
    <t>TX-115653</t>
  </si>
  <si>
    <t>TX-117176</t>
  </si>
  <si>
    <t>TX-117636</t>
  </si>
  <si>
    <t>TX-117848</t>
  </si>
  <si>
    <t>TX-118856</t>
  </si>
  <si>
    <t>TX-118954</t>
  </si>
  <si>
    <t>TX-118969</t>
  </si>
  <si>
    <t>TX-119087</t>
  </si>
  <si>
    <t>TX-119775</t>
  </si>
  <si>
    <t>TX-119855</t>
  </si>
  <si>
    <t>TX-120133</t>
  </si>
  <si>
    <t>TX-120196</t>
  </si>
  <si>
    <t>TX-120261</t>
  </si>
  <si>
    <t>TX-100825</t>
  </si>
  <si>
    <t>TX-100835</t>
  </si>
  <si>
    <t>TX-101141</t>
  </si>
  <si>
    <t>TX-102002</t>
  </si>
  <si>
    <t>TX-102763</t>
  </si>
  <si>
    <t>TX-102989</t>
  </si>
  <si>
    <t>TX-105355</t>
  </si>
  <si>
    <t>TX-106141</t>
  </si>
  <si>
    <t>TX-106579</t>
  </si>
  <si>
    <t>TX-106669</t>
  </si>
  <si>
    <t>TX-107235</t>
  </si>
  <si>
    <t>TX-107972</t>
  </si>
  <si>
    <t>TX-108190</t>
  </si>
  <si>
    <t>TX-108963</t>
  </si>
  <si>
    <t>TX-109467</t>
  </si>
  <si>
    <t>TX-110008</t>
  </si>
  <si>
    <t>TX-110108</t>
  </si>
  <si>
    <t>TX-110588</t>
  </si>
  <si>
    <t>TX-111388</t>
  </si>
  <si>
    <t>TX-111708</t>
  </si>
  <si>
    <t>TX-112261</t>
  </si>
  <si>
    <t>TX-112442</t>
  </si>
  <si>
    <t>TX-112558</t>
  </si>
  <si>
    <t>TX-113126</t>
  </si>
  <si>
    <t>TX-113171</t>
  </si>
  <si>
    <t>TX-113381</t>
  </si>
  <si>
    <t>TX-114192</t>
  </si>
  <si>
    <t>TX-114890</t>
  </si>
  <si>
    <t>TX-115376</t>
  </si>
  <si>
    <t>TX-115379</t>
  </si>
  <si>
    <t>TX-115780</t>
  </si>
  <si>
    <t>TX-115797</t>
  </si>
  <si>
    <t>TX-116100</t>
  </si>
  <si>
    <t>TX-116234</t>
  </si>
  <si>
    <t>TX-116552</t>
  </si>
  <si>
    <t>TX-116859</t>
  </si>
  <si>
    <t>TX-117288</t>
  </si>
  <si>
    <t>TX-117467</t>
  </si>
  <si>
    <t>TX-118036</t>
  </si>
  <si>
    <t>TX-118107</t>
  </si>
  <si>
    <t>TX-118163</t>
  </si>
  <si>
    <t>TX-118183</t>
  </si>
  <si>
    <t>TX-118437</t>
  </si>
  <si>
    <t>TX-119110</t>
  </si>
  <si>
    <t>TX-119161</t>
  </si>
  <si>
    <t>TX-119823</t>
  </si>
  <si>
    <t>TX-120640</t>
  </si>
  <si>
    <t>TX-121286</t>
  </si>
  <si>
    <t>TX-121466</t>
  </si>
  <si>
    <t>TX-121983</t>
  </si>
  <si>
    <t>TX-100108</t>
  </si>
  <si>
    <t>TX-101611</t>
  </si>
  <si>
    <t>TX-101996</t>
  </si>
  <si>
    <t>TX-102163</t>
  </si>
  <si>
    <t>TX-102900</t>
  </si>
  <si>
    <t>TX-102913</t>
  </si>
  <si>
    <t>TX-103176</t>
  </si>
  <si>
    <t>TX-103649</t>
  </si>
  <si>
    <t>TX-103709</t>
  </si>
  <si>
    <t>TX-104075</t>
  </si>
  <si>
    <t>TX-104135</t>
  </si>
  <si>
    <t>TX-104960</t>
  </si>
  <si>
    <t>TX-106402</t>
  </si>
  <si>
    <t>TX-107204</t>
  </si>
  <si>
    <t>TX-107306</t>
  </si>
  <si>
    <t>TX-107625</t>
  </si>
  <si>
    <t>TX-107815</t>
  </si>
  <si>
    <t>TX-108084</t>
  </si>
  <si>
    <t>TX-108618</t>
  </si>
  <si>
    <t>TX-108931</t>
  </si>
  <si>
    <t>TX-109150</t>
  </si>
  <si>
    <t>TX-109234</t>
  </si>
  <si>
    <t>TX-111007</t>
  </si>
  <si>
    <t>TX-111487</t>
  </si>
  <si>
    <t>TX-112288</t>
  </si>
  <si>
    <t>TX-112306</t>
  </si>
  <si>
    <t>TX-112445</t>
  </si>
  <si>
    <t>TX-113364</t>
  </si>
  <si>
    <t>TX-113389</t>
  </si>
  <si>
    <t>TX-113690</t>
  </si>
  <si>
    <t>TX-114535</t>
  </si>
  <si>
    <t>TX-115225</t>
  </si>
  <si>
    <t>TX-115617</t>
  </si>
  <si>
    <t>TX-115752</t>
  </si>
  <si>
    <t>TX-116108</t>
  </si>
  <si>
    <t>TX-116441</t>
  </si>
  <si>
    <t>TX-116869</t>
  </si>
  <si>
    <t>TX-117094</t>
  </si>
  <si>
    <t>TX-117128</t>
  </si>
  <si>
    <t>TX-117588</t>
  </si>
  <si>
    <t>TX-117649</t>
  </si>
  <si>
    <t>TX-117931</t>
  </si>
  <si>
    <t>TX-118071</t>
  </si>
  <si>
    <t>TX-118432</t>
  </si>
  <si>
    <t>TX-118814</t>
  </si>
  <si>
    <t>TX-118835</t>
  </si>
  <si>
    <t>TX-119034</t>
  </si>
  <si>
    <t>TX-119240</t>
  </si>
  <si>
    <t>TX-119435</t>
  </si>
  <si>
    <t>TX-119546</t>
  </si>
  <si>
    <t>TX-119568</t>
  </si>
  <si>
    <t>TX-121373</t>
  </si>
  <si>
    <t>TX-100208</t>
  </si>
  <si>
    <t>TX-101446</t>
  </si>
  <si>
    <t>TX-101674</t>
  </si>
  <si>
    <t>TX-102038</t>
  </si>
  <si>
    <t>TX-102302</t>
  </si>
  <si>
    <t>TX-102709</t>
  </si>
  <si>
    <t>TX-103158</t>
  </si>
  <si>
    <t>TX-103578</t>
  </si>
  <si>
    <t>TX-103623</t>
  </si>
  <si>
    <t>TX-103712</t>
  </si>
  <si>
    <t>TX-103849</t>
  </si>
  <si>
    <t>TX-104252</t>
  </si>
  <si>
    <t>TX-104638</t>
  </si>
  <si>
    <t>TX-105157</t>
  </si>
  <si>
    <t>TX-105926</t>
  </si>
  <si>
    <t>TX-106146</t>
  </si>
  <si>
    <t>TX-106390</t>
  </si>
  <si>
    <t>TX-106537</t>
  </si>
  <si>
    <t>TX-107103</t>
  </si>
  <si>
    <t>TX-107207</t>
  </si>
  <si>
    <t>TX-107280</t>
  </si>
  <si>
    <t>TX-108004</t>
  </si>
  <si>
    <t>TX-108439</t>
  </si>
  <si>
    <t>TX-108479</t>
  </si>
  <si>
    <t>TX-108695</t>
  </si>
  <si>
    <t>TX-109107</t>
  </si>
  <si>
    <t>TX-109192</t>
  </si>
  <si>
    <t>TX-109624</t>
  </si>
  <si>
    <t>TX-109829</t>
  </si>
  <si>
    <t>TX-110036</t>
  </si>
  <si>
    <t>TX-110891</t>
  </si>
  <si>
    <t>TX-110927</t>
  </si>
  <si>
    <t>TX-111030</t>
  </si>
  <si>
    <t>TX-111339</t>
  </si>
  <si>
    <t>TX-111808</t>
  </si>
  <si>
    <t>TX-112704</t>
  </si>
  <si>
    <t>TX-112876</t>
  </si>
  <si>
    <t>TX-112990</t>
  </si>
  <si>
    <t>TX-113303</t>
  </si>
  <si>
    <t>TX-113541</t>
  </si>
  <si>
    <t>TX-113739</t>
  </si>
  <si>
    <t>TX-113815</t>
  </si>
  <si>
    <t>TX-113894</t>
  </si>
  <si>
    <t>TX-114116</t>
  </si>
  <si>
    <t>TX-114702</t>
  </si>
  <si>
    <t>TX-115063</t>
  </si>
  <si>
    <t>TX-116082</t>
  </si>
  <si>
    <t>TX-117241</t>
  </si>
  <si>
    <t>TX-117534</t>
  </si>
  <si>
    <t>TX-117633</t>
  </si>
  <si>
    <t>TX-117684</t>
  </si>
  <si>
    <t>TX-117959</t>
  </si>
  <si>
    <t>TX-118296</t>
  </si>
  <si>
    <t>TX-118617</t>
  </si>
  <si>
    <t>TX-120702</t>
  </si>
  <si>
    <t>TX-121078</t>
  </si>
  <si>
    <t>TX-121883</t>
  </si>
  <si>
    <t>TX-100501</t>
  </si>
  <si>
    <t>TX-100666</t>
  </si>
  <si>
    <t>TX-100816</t>
  </si>
  <si>
    <t>ID_Cliente_Ref</t>
  </si>
  <si>
    <t>Fecha_Operacion</t>
  </si>
  <si>
    <t>ID_Transaccion</t>
  </si>
  <si>
    <t>SKU_Codigo_Ref</t>
  </si>
  <si>
    <t>Cantidad</t>
  </si>
  <si>
    <t>Precio_Unitario</t>
  </si>
  <si>
    <t>Descuento</t>
  </si>
  <si>
    <t>Año</t>
  </si>
  <si>
    <t>Documentacion del Modelo</t>
  </si>
  <si>
    <t>Indicador</t>
  </si>
  <si>
    <t>Estado</t>
  </si>
  <si>
    <t>Observación</t>
  </si>
  <si>
    <t>Ventas Totales</t>
  </si>
  <si>
    <t>Costos Totales</t>
  </si>
  <si>
    <t>Margen del Beneficio</t>
  </si>
  <si>
    <t>Calculable</t>
  </si>
  <si>
    <t>No Calculable</t>
  </si>
  <si>
    <t>Se calcula mediante medida DAX utilizando Cantidad, Precio_Unitario y Descuento.</t>
  </si>
  <si>
    <t>La fuente de datos no contiene costo unitario, costo total ni otra variable que permita determinar costos.</t>
  </si>
  <si>
    <t>No puede calcularse de forma confiable porque no existe información de costos en la fuente.</t>
  </si>
  <si>
    <t>Limitación de la fuente</t>
  </si>
  <si>
    <t>El dataset proporcionado no contiene información de costos. Por criterio de integridad y trazabilidad del dato, no se imputan ni inventan valores de costos. En consecuencia, Costos Totales y Margen de Beneficio no se calculan en este modelo.</t>
  </si>
  <si>
    <t>Clasificacion_Venta</t>
  </si>
  <si>
    <t>Total general</t>
  </si>
  <si>
    <t>Venta Total</t>
  </si>
  <si>
    <t>Unidades Vendidas</t>
  </si>
  <si>
    <t>DASHBOARD DE VENTAS E INSIGHTS</t>
  </si>
  <si>
    <t>CLI-000</t>
  </si>
  <si>
    <t>Sin Asignar</t>
  </si>
  <si>
    <t>Fecha</t>
  </si>
  <si>
    <t>Región</t>
  </si>
  <si>
    <t>Categoría</t>
  </si>
  <si>
    <t>CONTRASEÑA PROTECCIÓN: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</si>
</sst>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\ * #,##0.00_-;\-&quot;$&quot;\ * #,##0.00_-;_-&quot;$&quot;\ * &quot;-&quot;??_-;_-@_-"/>
    <numFmt numFmtId="164" formatCode="yyyy\-mm\-dd"/>
    <numFmt numFmtId="165" formatCode="&quot;$&quot;\ #,##0"/>
    <numFmt numFmtId="166" formatCode="\$\ #,##0;\-\$\ #,##0;\$\ #,##0"/>
    <numFmt numFmtId="167" formatCode="#,##0_ ;\-#,##0\ "/>
    <numFmt numFmtId="168" formatCode="_-&quot;$&quot;\ * #,##0_-;\-&quot;$&quot;\ * #,##0_-;_-&quot;$&quot;\ * &quot;-&quot;??_-;_-@_-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 style="thin">
        <color rgb="FF999999"/>
      </left>
      <right style="thin">
        <color indexed="64"/>
      </right>
      <top style="thin">
        <color indexed="65"/>
      </top>
      <bottom/>
      <diagonal/>
    </border>
    <border>
      <left/>
      <right style="thin">
        <color indexed="64"/>
      </right>
      <top style="thin">
        <color rgb="FF999999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65">
    <xf numFmtId="0" fontId="0" fillId="0" borderId="0" xfId="0" applyFont="1" applyAlignment="1"/>
    <xf numFmtId="164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/>
    <xf numFmtId="0" fontId="5" fillId="3" borderId="0" xfId="0" applyFont="1" applyFill="1"/>
    <xf numFmtId="165" fontId="5" fillId="3" borderId="0" xfId="0" applyNumberFormat="1" applyFont="1" applyFill="1"/>
    <xf numFmtId="165" fontId="5" fillId="0" borderId="0" xfId="0" applyNumberFormat="1" applyFont="1"/>
    <xf numFmtId="9" fontId="6" fillId="3" borderId="0" xfId="0" applyNumberFormat="1" applyFont="1" applyFill="1"/>
    <xf numFmtId="9" fontId="5" fillId="0" borderId="0" xfId="0" applyNumberFormat="1" applyFont="1"/>
    <xf numFmtId="9" fontId="0" fillId="0" borderId="0" xfId="0" applyNumberFormat="1" applyFont="1" applyAlignment="1"/>
    <xf numFmtId="9" fontId="5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/>
    <xf numFmtId="0" fontId="3" fillId="0" borderId="0" xfId="0" applyFont="1" applyAlignment="1"/>
    <xf numFmtId="9" fontId="4" fillId="3" borderId="0" xfId="0" applyNumberFormat="1" applyFont="1" applyFill="1"/>
    <xf numFmtId="0" fontId="4" fillId="0" borderId="0" xfId="0" applyNumberFormat="1" applyFont="1" applyAlignment="1"/>
    <xf numFmtId="0" fontId="4" fillId="0" borderId="0" xfId="0" applyNumberFormat="1" applyFont="1"/>
    <xf numFmtId="0" fontId="0" fillId="0" borderId="2" xfId="0" applyFont="1" applyBorder="1" applyAlignment="1"/>
    <xf numFmtId="0" fontId="0" fillId="0" borderId="3" xfId="0" applyFont="1" applyBorder="1" applyAlignment="1"/>
    <xf numFmtId="0" fontId="4" fillId="0" borderId="0" xfId="0" applyFont="1" applyAlignment="1">
      <alignment vertical="center"/>
    </xf>
    <xf numFmtId="0" fontId="0" fillId="0" borderId="1" xfId="0" pivotButton="1" applyFont="1" applyBorder="1" applyAlignment="1"/>
    <xf numFmtId="0" fontId="0" fillId="0" borderId="1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166" fontId="0" fillId="0" borderId="1" xfId="0" applyNumberFormat="1" applyFont="1" applyBorder="1" applyAlignment="1"/>
    <xf numFmtId="166" fontId="0" fillId="0" borderId="8" xfId="0" applyNumberFormat="1" applyFont="1" applyBorder="1" applyAlignment="1"/>
    <xf numFmtId="166" fontId="0" fillId="0" borderId="5" xfId="0" applyNumberFormat="1" applyFont="1" applyBorder="1" applyAlignment="1"/>
    <xf numFmtId="166" fontId="0" fillId="0" borderId="4" xfId="0" applyNumberFormat="1" applyFont="1" applyBorder="1" applyAlignment="1"/>
    <xf numFmtId="166" fontId="0" fillId="0" borderId="10" xfId="0" applyNumberFormat="1" applyFont="1" applyBorder="1" applyAlignment="1"/>
    <xf numFmtId="166" fontId="0" fillId="0" borderId="6" xfId="0" applyNumberFormat="1" applyFont="1" applyBorder="1" applyAlignment="1"/>
    <xf numFmtId="166" fontId="0" fillId="0" borderId="9" xfId="0" applyNumberFormat="1" applyFont="1" applyBorder="1" applyAlignment="1"/>
    <xf numFmtId="166" fontId="0" fillId="0" borderId="11" xfId="0" applyNumberFormat="1" applyFont="1" applyBorder="1" applyAlignment="1"/>
    <xf numFmtId="166" fontId="0" fillId="0" borderId="7" xfId="0" applyNumberFormat="1" applyFont="1" applyBorder="1" applyAlignment="1"/>
    <xf numFmtId="14" fontId="0" fillId="0" borderId="1" xfId="0" applyNumberFormat="1" applyFont="1" applyBorder="1" applyAlignment="1">
      <alignment horizontal="left"/>
    </xf>
    <xf numFmtId="14" fontId="0" fillId="0" borderId="4" xfId="0" applyNumberFormat="1" applyFont="1" applyBorder="1" applyAlignment="1">
      <alignment horizontal="left"/>
    </xf>
    <xf numFmtId="0" fontId="0" fillId="0" borderId="12" xfId="0" applyFont="1" applyBorder="1" applyAlignment="1"/>
    <xf numFmtId="1" fontId="0" fillId="0" borderId="12" xfId="0" applyNumberFormat="1" applyFont="1" applyBorder="1" applyAlignment="1"/>
    <xf numFmtId="1" fontId="0" fillId="0" borderId="13" xfId="0" applyNumberFormat="1" applyFont="1" applyBorder="1" applyAlignment="1"/>
    <xf numFmtId="1" fontId="0" fillId="0" borderId="14" xfId="0" applyNumberFormat="1" applyFont="1" applyBorder="1" applyAlignment="1"/>
    <xf numFmtId="0" fontId="2" fillId="0" borderId="0" xfId="0" applyFont="1" applyAlignment="1"/>
    <xf numFmtId="0" fontId="0" fillId="2" borderId="0" xfId="0" applyFont="1" applyFill="1" applyAlignment="1"/>
    <xf numFmtId="44" fontId="7" fillId="2" borderId="0" xfId="1" applyFont="1" applyFill="1" applyAlignment="1"/>
    <xf numFmtId="0" fontId="10" fillId="2" borderId="0" xfId="0" applyFont="1" applyFill="1" applyAlignment="1"/>
    <xf numFmtId="0" fontId="11" fillId="4" borderId="15" xfId="0" applyFont="1" applyFill="1" applyBorder="1" applyAlignment="1">
      <alignment horizontal="center"/>
    </xf>
    <xf numFmtId="168" fontId="12" fillId="4" borderId="15" xfId="1" applyNumberFormat="1" applyFont="1" applyFill="1" applyBorder="1" applyAlignment="1"/>
    <xf numFmtId="167" fontId="12" fillId="4" borderId="15" xfId="1" applyNumberFormat="1" applyFont="1" applyFill="1" applyBorder="1" applyAlignment="1"/>
    <xf numFmtId="0" fontId="0" fillId="5" borderId="1" xfId="0" applyFont="1" applyFill="1" applyBorder="1" applyAlignment="1"/>
    <xf numFmtId="0" fontId="6" fillId="0" borderId="0" xfId="0" applyFont="1" applyAlignment="1">
      <alignment vertical="center"/>
    </xf>
    <xf numFmtId="168" fontId="5" fillId="0" borderId="0" xfId="1" applyNumberFormat="1" applyFont="1"/>
    <xf numFmtId="168" fontId="0" fillId="0" borderId="0" xfId="1" applyNumberFormat="1" applyFont="1" applyAlignment="1"/>
    <xf numFmtId="0" fontId="0" fillId="0" borderId="17" xfId="0" applyFont="1" applyBorder="1" applyAlignment="1"/>
    <xf numFmtId="166" fontId="0" fillId="0" borderId="17" xfId="0" applyNumberFormat="1" applyFont="1" applyBorder="1" applyAlignment="1"/>
    <xf numFmtId="166" fontId="0" fillId="0" borderId="18" xfId="0" applyNumberFormat="1" applyFont="1" applyBorder="1" applyAlignment="1"/>
    <xf numFmtId="166" fontId="0" fillId="0" borderId="16" xfId="0" applyNumberFormat="1" applyFont="1" applyBorder="1" applyAlignment="1"/>
    <xf numFmtId="0" fontId="0" fillId="0" borderId="8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13" fillId="4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/>
    <xf numFmtId="0" fontId="0" fillId="6" borderId="0" xfId="0" applyFont="1" applyFill="1" applyAlignment="1"/>
  </cellXfs>
  <cellStyles count="2">
    <cellStyle name="Moneda" xfId="1" builtinId="4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indexed="64"/>
          <bgColor theme="2" tint="-0.14999847407452621"/>
        </patternFill>
      </fill>
    </dxf>
    <dxf>
      <fill>
        <patternFill patternType="solid">
          <fgColor indexed="64"/>
          <bgColor theme="2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0.34998626667073579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Cat_Productos-style" pivot="0" count="4" xr9:uid="{00000000-0011-0000-FFFF-FFFF00000000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Cat_Clientes-style" pivot="0" count="4" xr9:uid="{00000000-0011-0000-FFFF-FFFF01000000}">
      <tableStyleElement type="wholeTable" size="0" dxfId="32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[Pablo_Bellusci_Final.xlsx]Tablas_Dinamicas!Ventas_Cat_Region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Tablas_Dinamicas!$B$1:$B$2</c:f>
              <c:strCache>
                <c:ptCount val="1"/>
                <c:pt idx="0">
                  <c:v>Buenos 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Tablas_Dinamicas!$A$3:$A$7</c:f>
              <c:strCache>
                <c:ptCount val="4"/>
                <c:pt idx="0">
                  <c:v>Electrónica</c:v>
                </c:pt>
                <c:pt idx="1">
                  <c:v>Hogar</c:v>
                </c:pt>
                <c:pt idx="2">
                  <c:v>Línea Blanca</c:v>
                </c:pt>
                <c:pt idx="3">
                  <c:v>Tecnología</c:v>
                </c:pt>
              </c:strCache>
            </c:strRef>
          </c:cat>
          <c:val>
            <c:numRef>
              <c:f>Tablas_Dinamicas!$B$3:$B$7</c:f>
              <c:numCache>
                <c:formatCode>\$\ #,##0;\-\$\ #,##0;\$\ #,##0</c:formatCode>
                <c:ptCount val="4"/>
                <c:pt idx="0">
                  <c:v>72381136.280000016</c:v>
                </c:pt>
                <c:pt idx="1">
                  <c:v>57288887.909999996</c:v>
                </c:pt>
                <c:pt idx="2">
                  <c:v>25489572.73</c:v>
                </c:pt>
                <c:pt idx="3">
                  <c:v>52190424.380000003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E-4207-9AC3-89CF3443CFD5}"/>
            </c:ext>
          </c:extLst>
        </c:ser>
        <c:ser>
          <c:idx val="1"/>
          <c:order val="1"/>
          <c:tx>
            <c:strRef>
              <c:f>Tablas_Dinamicas!$C$1:$C$2</c:f>
              <c:strCache>
                <c:ptCount val="1"/>
                <c:pt idx="0">
                  <c:v>Córdoba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Tablas_Dinamicas!$A$3:$A$7</c:f>
              <c:strCache>
                <c:ptCount val="4"/>
                <c:pt idx="0">
                  <c:v>Electrónica</c:v>
                </c:pt>
                <c:pt idx="1">
                  <c:v>Hogar</c:v>
                </c:pt>
                <c:pt idx="2">
                  <c:v>Línea Blanca</c:v>
                </c:pt>
                <c:pt idx="3">
                  <c:v>Tecnología</c:v>
                </c:pt>
              </c:strCache>
            </c:strRef>
          </c:cat>
          <c:val>
            <c:numRef>
              <c:f>Tablas_Dinamicas!$C$3:$C$7</c:f>
              <c:numCache>
                <c:formatCode>\$\ #,##0;\-\$\ #,##0;\$\ #,##0</c:formatCode>
                <c:ptCount val="4"/>
                <c:pt idx="0">
                  <c:v>125209088.14000002</c:v>
                </c:pt>
                <c:pt idx="1">
                  <c:v>118213966.41999999</c:v>
                </c:pt>
                <c:pt idx="2">
                  <c:v>119568364.14</c:v>
                </c:pt>
                <c:pt idx="3">
                  <c:v>166093187.69999999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2E-4207-9AC3-89CF3443CFD5}"/>
            </c:ext>
          </c:extLst>
        </c:ser>
        <c:ser>
          <c:idx val="2"/>
          <c:order val="2"/>
          <c:tx>
            <c:strRef>
              <c:f>Tablas_Dinamicas!$D$1:$D$2</c:f>
              <c:strCache>
                <c:ptCount val="1"/>
                <c:pt idx="0">
                  <c:v>Mendoza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Tablas_Dinamicas!$A$3:$A$7</c:f>
              <c:strCache>
                <c:ptCount val="4"/>
                <c:pt idx="0">
                  <c:v>Electrónica</c:v>
                </c:pt>
                <c:pt idx="1">
                  <c:v>Hogar</c:v>
                </c:pt>
                <c:pt idx="2">
                  <c:v>Línea Blanca</c:v>
                </c:pt>
                <c:pt idx="3">
                  <c:v>Tecnología</c:v>
                </c:pt>
              </c:strCache>
            </c:strRef>
          </c:cat>
          <c:val>
            <c:numRef>
              <c:f>Tablas_Dinamicas!$D$3:$D$7</c:f>
              <c:numCache>
                <c:formatCode>\$\ #,##0;\-\$\ #,##0;\$\ #,##0</c:formatCode>
                <c:ptCount val="4"/>
                <c:pt idx="0">
                  <c:v>180246921.50000012</c:v>
                </c:pt>
                <c:pt idx="1">
                  <c:v>132552259.36</c:v>
                </c:pt>
                <c:pt idx="2">
                  <c:v>129985845.28999999</c:v>
                </c:pt>
                <c:pt idx="3">
                  <c:v>125982031.64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2E-4207-9AC3-89CF3443CFD5}"/>
            </c:ext>
          </c:extLst>
        </c:ser>
        <c:ser>
          <c:idx val="3"/>
          <c:order val="3"/>
          <c:tx>
            <c:strRef>
              <c:f>Tablas_Dinamicas!$E$1:$E$2</c:f>
              <c:strCache>
                <c:ptCount val="1"/>
                <c:pt idx="0">
                  <c:v>Sin Asignar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Tablas_Dinamicas!$A$3:$A$7</c:f>
              <c:strCache>
                <c:ptCount val="4"/>
                <c:pt idx="0">
                  <c:v>Electrónica</c:v>
                </c:pt>
                <c:pt idx="1">
                  <c:v>Hogar</c:v>
                </c:pt>
                <c:pt idx="2">
                  <c:v>Línea Blanca</c:v>
                </c:pt>
                <c:pt idx="3">
                  <c:v>Tecnología</c:v>
                </c:pt>
              </c:strCache>
            </c:strRef>
          </c:cat>
          <c:val>
            <c:numRef>
              <c:f>Tablas_Dinamicas!$E$3:$E$7</c:f>
              <c:numCache>
                <c:formatCode>\$\ #,##0;\-\$\ #,##0;\$\ #,##0</c:formatCode>
                <c:ptCount val="4"/>
                <c:pt idx="0">
                  <c:v>11718190</c:v>
                </c:pt>
                <c:pt idx="2">
                  <c:v>2718466.08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2E-4207-9AC3-89CF3443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936880"/>
        <c:axId val="1272938960"/>
      </c:barChart>
      <c:catAx>
        <c:axId val="127293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2938960"/>
        <c:crosses val="autoZero"/>
        <c:auto val="1"/>
        <c:lblAlgn val="ctr"/>
        <c:lblOffset val="100"/>
        <c:noMultiLvlLbl val="0"/>
      </c:catAx>
      <c:valAx>
        <c:axId val="12729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;\-\$\ #,##0;\$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293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[Pablo_Bellusci_Final.xlsx]Tablas_Dinamicas!Evolucion_Temporal_Ventas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Tablas_Dinamicas!$I$2</c:f>
              <c:strCache>
                <c:ptCount val="1"/>
                <c:pt idx="0">
                  <c:v>Venta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Tablas_Dinamicas!$H$3:$H$13</c:f>
              <c:strCache>
                <c:ptCount val="10"/>
                <c:pt idx="0">
                  <c:v>1/1/2026</c:v>
                </c:pt>
                <c:pt idx="1">
                  <c:v>2/1/2026</c:v>
                </c:pt>
                <c:pt idx="2">
                  <c:v>3/1/2026</c:v>
                </c:pt>
                <c:pt idx="3">
                  <c:v>4/1/2026</c:v>
                </c:pt>
                <c:pt idx="4">
                  <c:v>5/1/2026</c:v>
                </c:pt>
                <c:pt idx="5">
                  <c:v>6/1/2026</c:v>
                </c:pt>
                <c:pt idx="6">
                  <c:v>7/1/2026</c:v>
                </c:pt>
                <c:pt idx="7">
                  <c:v>8/1/2026</c:v>
                </c:pt>
                <c:pt idx="8">
                  <c:v>9/1/2026</c:v>
                </c:pt>
                <c:pt idx="9">
                  <c:v>10/1/2026</c:v>
                </c:pt>
              </c:strCache>
            </c:strRef>
          </c:cat>
          <c:val>
            <c:numRef>
              <c:f>Tablas_Dinamicas!$I$3:$I$13</c:f>
              <c:numCache>
                <c:formatCode>\$\ #,##0;\-\$\ #,##0;\$\ #,##0</c:formatCode>
                <c:ptCount val="10"/>
                <c:pt idx="0">
                  <c:v>127952279.46000001</c:v>
                </c:pt>
                <c:pt idx="1">
                  <c:v>189188238.33000007</c:v>
                </c:pt>
                <c:pt idx="2">
                  <c:v>147385926.21999994</c:v>
                </c:pt>
                <c:pt idx="3">
                  <c:v>134160637.56999996</c:v>
                </c:pt>
                <c:pt idx="4">
                  <c:v>162443017.27000001</c:v>
                </c:pt>
                <c:pt idx="5">
                  <c:v>123610079.95000003</c:v>
                </c:pt>
                <c:pt idx="6">
                  <c:v>155626140.63999999</c:v>
                </c:pt>
                <c:pt idx="7">
                  <c:v>137635060.02000001</c:v>
                </c:pt>
                <c:pt idx="8">
                  <c:v>132700445.14999996</c:v>
                </c:pt>
                <c:pt idx="9">
                  <c:v>8936516.9600000009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E-4C0E-8C04-332FBE403FA0}"/>
            </c:ext>
          </c:extLst>
        </c:ser>
        <c:ser>
          <c:idx val="1"/>
          <c:order val="1"/>
          <c:tx>
            <c:strRef>
              <c:f>Tablas_Dinamicas!$J$2</c:f>
              <c:strCache>
                <c:ptCount val="1"/>
                <c:pt idx="0">
                  <c:v>Unidades Vendidas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Tablas_Dinamicas!$H$3:$H$13</c:f>
              <c:strCache>
                <c:ptCount val="10"/>
                <c:pt idx="0">
                  <c:v>1/1/2026</c:v>
                </c:pt>
                <c:pt idx="1">
                  <c:v>2/1/2026</c:v>
                </c:pt>
                <c:pt idx="2">
                  <c:v>3/1/2026</c:v>
                </c:pt>
                <c:pt idx="3">
                  <c:v>4/1/2026</c:v>
                </c:pt>
                <c:pt idx="4">
                  <c:v>5/1/2026</c:v>
                </c:pt>
                <c:pt idx="5">
                  <c:v>6/1/2026</c:v>
                </c:pt>
                <c:pt idx="6">
                  <c:v>7/1/2026</c:v>
                </c:pt>
                <c:pt idx="7">
                  <c:v>8/1/2026</c:v>
                </c:pt>
                <c:pt idx="8">
                  <c:v>9/1/2026</c:v>
                </c:pt>
                <c:pt idx="9">
                  <c:v>10/1/2026</c:v>
                </c:pt>
              </c:strCache>
            </c:strRef>
          </c:cat>
          <c:val>
            <c:numRef>
              <c:f>Tablas_Dinamicas!$J$3:$J$13</c:f>
              <c:numCache>
                <c:formatCode>0</c:formatCode>
                <c:ptCount val="10"/>
                <c:pt idx="0">
                  <c:v>328</c:v>
                </c:pt>
                <c:pt idx="1">
                  <c:v>457</c:v>
                </c:pt>
                <c:pt idx="2">
                  <c:v>382</c:v>
                </c:pt>
                <c:pt idx="3">
                  <c:v>326</c:v>
                </c:pt>
                <c:pt idx="4">
                  <c:v>428</c:v>
                </c:pt>
                <c:pt idx="5">
                  <c:v>286</c:v>
                </c:pt>
                <c:pt idx="6">
                  <c:v>365</c:v>
                </c:pt>
                <c:pt idx="7">
                  <c:v>362</c:v>
                </c:pt>
                <c:pt idx="8">
                  <c:v>343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BE-4C0E-8C04-332FBE403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068048"/>
        <c:axId val="1271064720"/>
      </c:lineChart>
      <c:catAx>
        <c:axId val="127106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1064720"/>
        <c:crosses val="autoZero"/>
        <c:auto val="1"/>
        <c:lblAlgn val="ctr"/>
        <c:lblOffset val="100"/>
        <c:noMultiLvlLbl val="0"/>
      </c:catAx>
      <c:valAx>
        <c:axId val="12710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;\-\$\ #,##0;\$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106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6</xdr:row>
      <xdr:rowOff>91440</xdr:rowOff>
    </xdr:from>
    <xdr:to>
      <xdr:col>4</xdr:col>
      <xdr:colOff>655320</xdr:colOff>
      <xdr:row>21</xdr:row>
      <xdr:rowOff>91440</xdr:rowOff>
    </xdr:to>
    <xdr:graphicFrame macro="">
      <xdr:nvGraphicFramePr>
        <xdr:cNvPr id="5" name="Categoria_Region">
          <a:extLst>
            <a:ext uri="{FF2B5EF4-FFF2-40B4-BE49-F238E27FC236}">
              <a16:creationId xmlns:a16="http://schemas.microsoft.com/office/drawing/2014/main" id="{0D1C9545-294F-4E10-B25A-E14597CF1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6</xdr:row>
      <xdr:rowOff>83820</xdr:rowOff>
    </xdr:from>
    <xdr:to>
      <xdr:col>13</xdr:col>
      <xdr:colOff>419100</xdr:colOff>
      <xdr:row>21</xdr:row>
      <xdr:rowOff>83820</xdr:rowOff>
    </xdr:to>
    <xdr:graphicFrame macro="">
      <xdr:nvGraphicFramePr>
        <xdr:cNvPr id="11" name="Venta_Total">
          <a:extLst>
            <a:ext uri="{FF2B5EF4-FFF2-40B4-BE49-F238E27FC236}">
              <a16:creationId xmlns:a16="http://schemas.microsoft.com/office/drawing/2014/main" id="{9168A7E6-FA08-4F45-B1C9-117C43BA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91440</xdr:colOff>
      <xdr:row>6</xdr:row>
      <xdr:rowOff>99061</xdr:rowOff>
    </xdr:from>
    <xdr:to>
      <xdr:col>7</xdr:col>
      <xdr:colOff>335280</xdr:colOff>
      <xdr:row>13</xdr:row>
      <xdr:rowOff>99061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egion_Geografica">
              <a:extLst>
                <a:ext uri="{FF2B5EF4-FFF2-40B4-BE49-F238E27FC236}">
                  <a16:creationId xmlns:a16="http://schemas.microsoft.com/office/drawing/2014/main" id="{299BA3A6-AB1E-4352-8497-9D6DBFDAA7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_Geografi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8420" y="1295401"/>
              <a:ext cx="1828800" cy="1424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83820</xdr:colOff>
      <xdr:row>14</xdr:row>
      <xdr:rowOff>99060</xdr:rowOff>
    </xdr:from>
    <xdr:to>
      <xdr:col>7</xdr:col>
      <xdr:colOff>327660</xdr:colOff>
      <xdr:row>22</xdr:row>
      <xdr:rowOff>91439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egoria_Agrupador">
              <a:extLst>
                <a:ext uri="{FF2B5EF4-FFF2-40B4-BE49-F238E27FC236}">
                  <a16:creationId xmlns:a16="http://schemas.microsoft.com/office/drawing/2014/main" id="{A53DF074-32C6-426C-810B-44CF3A1373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_Agrup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0800" y="2903220"/>
              <a:ext cx="1828800" cy="1455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0</xdr:col>
      <xdr:colOff>342899</xdr:colOff>
      <xdr:row>22</xdr:row>
      <xdr:rowOff>83820</xdr:rowOff>
    </xdr:from>
    <xdr:ext cx="12717781" cy="1470146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508FD69-349B-4D97-98A5-8297E192870A}"/>
            </a:ext>
          </a:extLst>
        </xdr:cNvPr>
        <xdr:cNvSpPr txBox="1"/>
      </xdr:nvSpPr>
      <xdr:spPr>
        <a:xfrm>
          <a:off x="342899" y="4351020"/>
          <a:ext cx="12717781" cy="14701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b="1"/>
            <a:t>REPORTE EJECUTIVO Y CONCLUSIONES CLAVE</a:t>
          </a:r>
          <a:endParaRPr lang="es-AR"/>
        </a:p>
        <a:p>
          <a:r>
            <a:rPr lang="es-AR" b="1"/>
            <a:t>-Categoría con mayor facturación:</a:t>
          </a:r>
          <a:r>
            <a:rPr lang="es-AR"/>
            <a:t> </a:t>
          </a:r>
          <a:r>
            <a:rPr lang="es-AR" b="1"/>
            <a:t>Electrónica</a:t>
          </a:r>
          <a:r>
            <a:rPr lang="es-AR"/>
            <a:t> lidera las ventas totales concentrando el </a:t>
          </a:r>
          <a:r>
            <a:rPr lang="es-AR" b="1"/>
            <a:t>28,6%</a:t>
          </a:r>
          <a:r>
            <a:rPr lang="es-AR"/>
            <a:t> del volumen de ingresos, seguida de cerca por </a:t>
          </a:r>
          <a:r>
            <a:rPr lang="es-AR" b="1"/>
            <a:t>Tecnología</a:t>
          </a:r>
          <a:r>
            <a:rPr lang="es-AR"/>
            <a:t> (26,8%). Entre ambas explican más del 55% de la facturación global del período.</a:t>
          </a:r>
        </a:p>
        <a:p>
          <a:r>
            <a:rPr lang="es-AR" b="1"/>
            <a:t>-Mercado/Región de mayor rendimiento:</a:t>
          </a:r>
          <a:r>
            <a:rPr lang="es-AR"/>
            <a:t> </a:t>
          </a:r>
          <a:r>
            <a:rPr lang="es-AR" b="1"/>
            <a:t>Mendoza</a:t>
          </a:r>
          <a:r>
            <a:rPr lang="es-AR"/>
            <a:t> se posiciona como la plaza más relevante del negocio al generar el </a:t>
          </a:r>
          <a:r>
            <a:rPr lang="es-AR" b="1"/>
            <a:t>43%</a:t>
          </a:r>
          <a:r>
            <a:rPr lang="es-AR"/>
            <a:t> de los ingresos totales y 1.449 unidades vendidas, superando por estrecho margen a </a:t>
          </a:r>
          <a:r>
            <a:rPr lang="es-AR" b="1"/>
            <a:t>Córdoba</a:t>
          </a:r>
          <a:r>
            <a:rPr lang="es-AR"/>
            <a:t> (40,8%) y relegando a </a:t>
          </a:r>
          <a:r>
            <a:rPr lang="es-AR" b="1"/>
            <a:t>Buenos Aires</a:t>
          </a:r>
          <a:r>
            <a:rPr lang="es-AR"/>
            <a:t> (15,6%) al tercer lugar.</a:t>
          </a:r>
        </a:p>
        <a:p>
          <a:r>
            <a:rPr lang="es-AR" b="1"/>
            <a:t>-Tendencia y comportamiento de unidades:</a:t>
          </a:r>
          <a:r>
            <a:rPr lang="es-AR"/>
            <a:t> La evolución operativa mantiene una relación directamente proporcional entre el monto facturado y las unidades despachadas, alcanzando picos de demanda en los primeros días del mes y concentrando un promedio de más de 300 unidades comercializadas por jornada.</a:t>
          </a:r>
        </a:p>
        <a:p>
          <a:endParaRPr lang="es-AR" sz="1100"/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Martin Bellusci" refreshedDate="46270.686955324076" backgroundQuery="1" createdVersion="7" refreshedVersion="7" minRefreshableVersion="3" recordCount="0" supportSubquery="1" supportAdvancedDrill="1" xr:uid="{8A3EFCCA-11C9-4AC4-AA0A-9B0BA1C6281E}">
  <cacheSource type="external" connectionId="9"/>
  <cacheFields count="3">
    <cacheField name="[tbl_Productos].[Categoria_Agrupador].[Categoria_Agrupador]" caption="Categoria_Agrupador" numFmtId="0" hierarchy="9" level="1">
      <sharedItems count="4">
        <s v="Electrónica"/>
        <s v="Hogar"/>
        <s v="Línea Blanca"/>
        <s v="Tecnología"/>
      </sharedItems>
    </cacheField>
    <cacheField name="[tbl_Clientes].[Region_Geografica].[Region_Geografica]" caption="Region_Geografica" numFmtId="0" hierarchy="2" level="1">
      <sharedItems count="4">
        <s v="Buenos Aires"/>
        <s v="Córdoba"/>
        <s v="Mendoza"/>
        <s v="Sin Asignar"/>
      </sharedItems>
    </cacheField>
    <cacheField name="[Measures].[Venta Total]" caption="Venta Total" numFmtId="0" hierarchy="18" level="32767"/>
  </cacheFields>
  <cacheHierarchies count="26">
    <cacheHierarchy uniqueName="[tbl_Clientes].[ID_Cliente_Clave]" caption="ID_Cliente_Clave" attribute="1" defaultMemberUniqueName="[tbl_Clientes].[ID_Cliente_Clave].[All]" allUniqueName="[tbl_Clientes].[ID_Cliente_Clave].[All]" dimensionUniqueName="[tbl_Clientes]" displayFolder="" count="0" memberValueDatatype="130" unbalanced="0"/>
    <cacheHierarchy uniqueName="[tbl_Clientes].[Nombre_RazonSocial]" caption="Nombre_RazonSocial" attribute="1" defaultMemberUniqueName="[tbl_Clientes].[Nombre_RazonSocial].[All]" allUniqueName="[tbl_Clientes].[Nombre_RazonSocial].[All]" dimensionUniqueName="[tbl_Clientes]" displayFolder="" count="0" memberValueDatatype="130" unbalanced="0"/>
    <cacheHierarchy uniqueName="[tbl_Clientes].[Region_Geografica]" caption="Region_Geografica" attribute="1" defaultMemberUniqueName="[tbl_Clientes].[Region_Geografica].[All]" allUniqueName="[tbl_Clientes].[Region_Geografica].[All]" dimensionUniqueName="[tbl_Clientes]" displayFolder="" count="2" memberValueDatatype="130" unbalanced="0">
      <fieldsUsage count="2">
        <fieldUsage x="-1"/>
        <fieldUsage x="1"/>
      </fieldsUsage>
    </cacheHierarchy>
    <cacheHierarchy uniqueName="[tbl_Objetivos].[Mes_Num]" caption="Mes_Num" attribute="1" defaultMemberUniqueName="[tbl_Objetivos].[Mes_Num].[All]" allUniqueName="[tbl_Objetivos].[Mes_Num].[All]" dimensionUniqueName="[tbl_Objetivos]" displayFolder="" count="0" memberValueDatatype="20" unbalanced="0"/>
    <cacheHierarchy uniqueName="[tbl_Objetivos].[Año]" caption="Año" attribute="1" defaultMemberUniqueName="[tbl_Objetivos].[Año].[All]" allUniqueName="[tbl_Objetivos].[Año].[All]" dimensionUniqueName="[tbl_Objetivos]" displayFolder="" count="0" memberValueDatatype="20" unbalanced="0"/>
    <cacheHierarchy uniqueName="[tbl_Objetivos].[Categoria_Agrupador]" caption="Categoria_Agrupador" attribute="1" defaultMemberUniqueName="[tbl_Objetivos].[Categoria_Agrupador].[All]" allUniqueName="[tbl_Objetivos].[Categoria_Agrupador].[All]" dimensionUniqueName="[tbl_Objetivos]" displayFolder="" count="0" memberValueDatatype="130" unbalanced="0"/>
    <cacheHierarchy uniqueName="[tbl_Objetivos].[Cantidad_Registros]" caption="Cantidad_Registros" attribute="1" defaultMemberUniqueName="[tbl_Objetivos].[Cantidad_Registros].[All]" allUniqueName="[tbl_Objetivos].[Cantidad_Registros].[All]" dimensionUniqueName="[tbl_Objetivos]" displayFolder="" count="0" memberValueDatatype="20" unbalanced="0"/>
    <cacheHierarchy uniqueName="[tbl_Productos].[SKU_Clave]" caption="SKU_Clave" attribute="1" defaultMemberUniqueName="[tbl_Productos].[SKU_Clave].[All]" allUniqueName="[tbl_Productos].[SKU_Clave].[All]" dimensionUniqueName="[tbl_Productos]" displayFolder="" count="0" memberValueDatatype="130" unbalanced="0"/>
    <cacheHierarchy uniqueName="[tbl_Productos].[Producto_Descripcion]" caption="Producto_Descripcion" attribute="1" defaultMemberUniqueName="[tbl_Productos].[Producto_Descripcion].[All]" allUniqueName="[tbl_Productos].[Producto_Descripcion].[All]" dimensionUniqueName="[tbl_Productos]" displayFolder="" count="0" memberValueDatatype="130" unbalanced="0"/>
    <cacheHierarchy uniqueName="[tbl_Productos].[Categoria_Agrupador]" caption="Categoria_Agrupador" attribute="1" defaultMemberUniqueName="[tbl_Productos].[Categoria_Agrupador].[All]" allUniqueName="[tbl_Productos].[Categoria_Agrupador].[All]" dimensionUniqueName="[tbl_Productos]" displayFolder="" count="2" memberValueDatatype="130" unbalanced="0">
      <fieldsUsage count="2">
        <fieldUsage x="-1"/>
        <fieldUsage x="0"/>
      </fieldsUsage>
    </cacheHierarchy>
    <cacheHierarchy uniqueName="[tbl_Ventas].[Fecha_Operacion]" caption="Fecha_Operacion" attribute="1" time="1" defaultMemberUniqueName="[tbl_Ventas].[Fecha_Operacion].[All]" allUniqueName="[tbl_Ventas].[Fecha_Operacion].[All]" dimensionUniqueName="[tbl_Ventas]" displayFolder="" count="0" memberValueDatatype="7" unbalanced="0"/>
    <cacheHierarchy uniqueName="[tbl_Ventas].[ID_Transaccion]" caption="ID_Transaccion" attribute="1" defaultMemberUniqueName="[tbl_Ventas].[ID_Transaccion].[All]" allUniqueName="[tbl_Ventas].[ID_Transaccion].[All]" dimensionUniqueName="[tbl_Ventas]" displayFolder="" count="0" memberValueDatatype="130" unbalanced="0"/>
    <cacheHierarchy uniqueName="[tbl_Ventas].[SKU_Codigo_Ref]" caption="SKU_Codigo_Ref" attribute="1" defaultMemberUniqueName="[tbl_Ventas].[SKU_Codigo_Ref].[All]" allUniqueName="[tbl_Ventas].[SKU_Codigo_Ref].[All]" dimensionUniqueName="[tbl_Ventas]" displayFolder="" count="0" memberValueDatatype="130" unbalanced="0"/>
    <cacheHierarchy uniqueName="[tbl_Ventas].[Cantidad]" caption="Cantidad" attribute="1" defaultMemberUniqueName="[tbl_Ventas].[Cantidad].[All]" allUniqueName="[tbl_Ventas].[Cantidad].[All]" dimensionUniqueName="[tbl_Ventas]" displayFolder="" count="0" memberValueDatatype="20" unbalanced="0"/>
    <cacheHierarchy uniqueName="[tbl_Ventas].[Precio_Unitario]" caption="Precio_Unitario" attribute="1" defaultMemberUniqueName="[tbl_Ventas].[Precio_Unitario].[All]" allUniqueName="[tbl_Ventas].[Precio_Unitario].[All]" dimensionUniqueName="[tbl_Ventas]" displayFolder="" count="0" memberValueDatatype="5" unbalanced="0"/>
    <cacheHierarchy uniqueName="[tbl_Ventas].[Descuento]" caption="Descuento" attribute="1" defaultMemberUniqueName="[tbl_Ventas].[Descuento].[All]" allUniqueName="[tbl_Ventas].[Descuento].[All]" dimensionUniqueName="[tbl_Ventas]" displayFolder="" count="0" memberValueDatatype="5" unbalanced="0"/>
    <cacheHierarchy uniqueName="[tbl_Ventas].[Clasificacion_Venta]" caption="Clasificacion_Venta" attribute="1" defaultMemberUniqueName="[tbl_Ventas].[Clasificacion_Venta].[All]" allUniqueName="[tbl_Ventas].[Clasificacion_Venta].[All]" dimensionUniqueName="[tbl_Ventas]" displayFolder="" count="0" memberValueDatatype="130" unbalanced="0"/>
    <cacheHierarchy uniqueName="[tbl_Ventas].[ID_Cliente_Ref]" caption="ID_Cliente_Ref" attribute="1" defaultMemberUniqueName="[tbl_Ventas].[ID_Cliente_Ref].[All]" allUniqueName="[tbl_Ventas].[ID_Cliente_Ref].[All]" dimensionUniqueName="[tbl_Ventas]" displayFolder="" count="0" memberValueDatatype="130" unbalanced="0"/>
    <cacheHierarchy uniqueName="[Measures].[Venta Total]" caption="Venta Total" measure="1" displayFolder="" measureGroup="tbl_Ventas" count="0" oneField="1">
      <fieldsUsage count="1">
        <fieldUsage x="2"/>
      </fieldsUsage>
    </cacheHierarchy>
    <cacheHierarchy uniqueName="[Measures].[Unidades Vendidas]" caption="Unidades Vendidas" measure="1" displayFolder="" measureGroup="tbl_Ventas" count="0"/>
    <cacheHierarchy uniqueName="[Measures].[Total Transacciones]" caption="Total Transacciones" measure="1" displayFolder="" measureGroup="tbl_Ventas" count="0"/>
    <cacheHierarchy uniqueName="[Measures].[__XL_Count tbl_Objetivos]" caption="__XL_Count tbl_Objetivos" measure="1" displayFolder="" measureGroup="tbl_Objetivos" count="0" hidden="1"/>
    <cacheHierarchy uniqueName="[Measures].[__XL_Count tbl_Productos]" caption="__XL_Count tbl_Productos" measure="1" displayFolder="" measureGroup="tbl_Productos" count="0" hidden="1"/>
    <cacheHierarchy uniqueName="[Measures].[__XL_Count tbl_Ventas]" caption="__XL_Count tbl_Ventas" measure="1" displayFolder="" measureGroup="tbl_Ventas" count="0" hidden="1"/>
    <cacheHierarchy uniqueName="[Measures].[__XL_Count tbl_Clientes]" caption="__XL_Count tbl_Clientes" measure="1" displayFolder="" measureGroup="tbl_Clientes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tbl_Clientes" uniqueName="[tbl_Clientes]" caption="tbl_Clientes"/>
    <dimension name="tbl_Objetivos" uniqueName="[tbl_Objetivos]" caption="tbl_Objetivos"/>
    <dimension name="tbl_Productos" uniqueName="[tbl_Productos]" caption="tbl_Productos"/>
    <dimension name="tbl_Ventas" uniqueName="[tbl_Ventas]" caption="tbl_Ventas"/>
  </dimensions>
  <measureGroups count="4">
    <measureGroup name="tbl_Clientes" caption="tbl_Clientes"/>
    <measureGroup name="tbl_Objetivos" caption="tbl_Objetivos"/>
    <measureGroup name="tbl_Productos" caption="tbl_Productos"/>
    <measureGroup name="tbl_Ventas" caption="tbl_Ventas"/>
  </measureGroups>
  <maps count="6">
    <map measureGroup="0" dimension="1"/>
    <map measureGroup="1" dimension="2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Martin Bellusci" refreshedDate="46270.68695625" backgroundQuery="1" createdVersion="7" refreshedVersion="7" minRefreshableVersion="3" recordCount="0" supportSubquery="1" supportAdvancedDrill="1" xr:uid="{73374FFD-93FC-48AD-A812-7B1E7708D952}">
  <cacheSource type="external" connectionId="9"/>
  <cacheFields count="5">
    <cacheField name="[tbl_Ventas].[Fecha_Operacion].[Fecha_Operacion]" caption="Fecha_Operacion" numFmtId="0" hierarchy="10" level="1">
      <sharedItems containsSemiMixedTypes="0" containsNonDate="0" containsDate="1" containsString="0" minDate="2026-01-01T00:00:00" maxDate="2026-01-11T00:00:00" count="1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</sharedItems>
    </cacheField>
    <cacheField name="[Measures].[Venta Total]" caption="Venta Total" numFmtId="0" hierarchy="18" level="32767"/>
    <cacheField name="[Measures].[Unidades Vendidas]" caption="Unidades Vendidas" numFmtId="0" hierarchy="19" level="32767"/>
    <cacheField name="[tbl_Productos].[Categoria_Agrupador].[Categoria_Agrupador]" caption="Categoria_Agrupador" numFmtId="0" hierarchy="9" level="1">
      <sharedItems containsSemiMixedTypes="0" containsNonDate="0" containsString="0"/>
    </cacheField>
    <cacheField name="[tbl_Clientes].[Region_Geografica].[Region_Geografica]" caption="Region_Geografica" numFmtId="0" hierarchy="2" level="1">
      <sharedItems containsSemiMixedTypes="0" containsNonDate="0" containsString="0"/>
    </cacheField>
  </cacheFields>
  <cacheHierarchies count="26">
    <cacheHierarchy uniqueName="[tbl_Clientes].[ID_Cliente_Clave]" caption="ID_Cliente_Clave" attribute="1" defaultMemberUniqueName="[tbl_Clientes].[ID_Cliente_Clave].[All]" allUniqueName="[tbl_Clientes].[ID_Cliente_Clave].[All]" dimensionUniqueName="[tbl_Clientes]" displayFolder="" count="0" memberValueDatatype="130" unbalanced="0"/>
    <cacheHierarchy uniqueName="[tbl_Clientes].[Nombre_RazonSocial]" caption="Nombre_RazonSocial" attribute="1" defaultMemberUniqueName="[tbl_Clientes].[Nombre_RazonSocial].[All]" allUniqueName="[tbl_Clientes].[Nombre_RazonSocial].[All]" dimensionUniqueName="[tbl_Clientes]" displayFolder="" count="0" memberValueDatatype="130" unbalanced="0"/>
    <cacheHierarchy uniqueName="[tbl_Clientes].[Region_Geografica]" caption="Region_Geografica" attribute="1" defaultMemberUniqueName="[tbl_Clientes].[Region_Geografica].[All]" allUniqueName="[tbl_Clientes].[Region_Geografica].[All]" dimensionUniqueName="[tbl_Clientes]" displayFolder="" count="2" memberValueDatatype="130" unbalanced="0">
      <fieldsUsage count="2">
        <fieldUsage x="-1"/>
        <fieldUsage x="4"/>
      </fieldsUsage>
    </cacheHierarchy>
    <cacheHierarchy uniqueName="[tbl_Objetivos].[Mes_Num]" caption="Mes_Num" attribute="1" defaultMemberUniqueName="[tbl_Objetivos].[Mes_Num].[All]" allUniqueName="[tbl_Objetivos].[Mes_Num].[All]" dimensionUniqueName="[tbl_Objetivos]" displayFolder="" count="0" memberValueDatatype="20" unbalanced="0"/>
    <cacheHierarchy uniqueName="[tbl_Objetivos].[Año]" caption="Año" attribute="1" defaultMemberUniqueName="[tbl_Objetivos].[Año].[All]" allUniqueName="[tbl_Objetivos].[Año].[All]" dimensionUniqueName="[tbl_Objetivos]" displayFolder="" count="0" memberValueDatatype="20" unbalanced="0"/>
    <cacheHierarchy uniqueName="[tbl_Objetivos].[Categoria_Agrupador]" caption="Categoria_Agrupador" attribute="1" defaultMemberUniqueName="[tbl_Objetivos].[Categoria_Agrupador].[All]" allUniqueName="[tbl_Objetivos].[Categoria_Agrupador].[All]" dimensionUniqueName="[tbl_Objetivos]" displayFolder="" count="0" memberValueDatatype="130" unbalanced="0"/>
    <cacheHierarchy uniqueName="[tbl_Objetivos].[Cantidad_Registros]" caption="Cantidad_Registros" attribute="1" defaultMemberUniqueName="[tbl_Objetivos].[Cantidad_Registros].[All]" allUniqueName="[tbl_Objetivos].[Cantidad_Registros].[All]" dimensionUniqueName="[tbl_Objetivos]" displayFolder="" count="0" memberValueDatatype="20" unbalanced="0"/>
    <cacheHierarchy uniqueName="[tbl_Productos].[SKU_Clave]" caption="SKU_Clave" attribute="1" defaultMemberUniqueName="[tbl_Productos].[SKU_Clave].[All]" allUniqueName="[tbl_Productos].[SKU_Clave].[All]" dimensionUniqueName="[tbl_Productos]" displayFolder="" count="0" memberValueDatatype="130" unbalanced="0"/>
    <cacheHierarchy uniqueName="[tbl_Productos].[Producto_Descripcion]" caption="Producto_Descripcion" attribute="1" defaultMemberUniqueName="[tbl_Productos].[Producto_Descripcion].[All]" allUniqueName="[tbl_Productos].[Producto_Descripcion].[All]" dimensionUniqueName="[tbl_Productos]" displayFolder="" count="0" memberValueDatatype="130" unbalanced="0"/>
    <cacheHierarchy uniqueName="[tbl_Productos].[Categoria_Agrupador]" caption="Categoria_Agrupador" attribute="1" defaultMemberUniqueName="[tbl_Productos].[Categoria_Agrupador].[All]" allUniqueName="[tbl_Productos].[Categoria_Agrupador].[All]" dimensionUniqueName="[tbl_Productos]" displayFolder="" count="2" memberValueDatatype="130" unbalanced="0">
      <fieldsUsage count="2">
        <fieldUsage x="-1"/>
        <fieldUsage x="3"/>
      </fieldsUsage>
    </cacheHierarchy>
    <cacheHierarchy uniqueName="[tbl_Ventas].[Fecha_Operacion]" caption="Fecha_Operacion" attribute="1" time="1" defaultMemberUniqueName="[tbl_Ventas].[Fecha_Operacion].[All]" allUniqueName="[tbl_Ventas].[Fecha_Operacion].[All]" dimensionUniqueName="[tbl_Ventas]" displayFolder="" count="2" memberValueDatatype="7" unbalanced="0">
      <fieldsUsage count="2">
        <fieldUsage x="-1"/>
        <fieldUsage x="0"/>
      </fieldsUsage>
    </cacheHierarchy>
    <cacheHierarchy uniqueName="[tbl_Ventas].[ID_Transaccion]" caption="ID_Transaccion" attribute="1" defaultMemberUniqueName="[tbl_Ventas].[ID_Transaccion].[All]" allUniqueName="[tbl_Ventas].[ID_Transaccion].[All]" dimensionUniqueName="[tbl_Ventas]" displayFolder="" count="0" memberValueDatatype="130" unbalanced="0"/>
    <cacheHierarchy uniqueName="[tbl_Ventas].[SKU_Codigo_Ref]" caption="SKU_Codigo_Ref" attribute="1" defaultMemberUniqueName="[tbl_Ventas].[SKU_Codigo_Ref].[All]" allUniqueName="[tbl_Ventas].[SKU_Codigo_Ref].[All]" dimensionUniqueName="[tbl_Ventas]" displayFolder="" count="0" memberValueDatatype="130" unbalanced="0"/>
    <cacheHierarchy uniqueName="[tbl_Ventas].[Cantidad]" caption="Cantidad" attribute="1" defaultMemberUniqueName="[tbl_Ventas].[Cantidad].[All]" allUniqueName="[tbl_Ventas].[Cantidad].[All]" dimensionUniqueName="[tbl_Ventas]" displayFolder="" count="0" memberValueDatatype="20" unbalanced="0"/>
    <cacheHierarchy uniqueName="[tbl_Ventas].[Precio_Unitario]" caption="Precio_Unitario" attribute="1" defaultMemberUniqueName="[tbl_Ventas].[Precio_Unitario].[All]" allUniqueName="[tbl_Ventas].[Precio_Unitario].[All]" dimensionUniqueName="[tbl_Ventas]" displayFolder="" count="0" memberValueDatatype="5" unbalanced="0"/>
    <cacheHierarchy uniqueName="[tbl_Ventas].[Descuento]" caption="Descuento" attribute="1" defaultMemberUniqueName="[tbl_Ventas].[Descuento].[All]" allUniqueName="[tbl_Ventas].[Descuento].[All]" dimensionUniqueName="[tbl_Ventas]" displayFolder="" count="0" memberValueDatatype="5" unbalanced="0"/>
    <cacheHierarchy uniqueName="[tbl_Ventas].[Clasificacion_Venta]" caption="Clasificacion_Venta" attribute="1" defaultMemberUniqueName="[tbl_Ventas].[Clasificacion_Venta].[All]" allUniqueName="[tbl_Ventas].[Clasificacion_Venta].[All]" dimensionUniqueName="[tbl_Ventas]" displayFolder="" count="0" memberValueDatatype="130" unbalanced="0"/>
    <cacheHierarchy uniqueName="[tbl_Ventas].[ID_Cliente_Ref]" caption="ID_Cliente_Ref" attribute="1" defaultMemberUniqueName="[tbl_Ventas].[ID_Cliente_Ref].[All]" allUniqueName="[tbl_Ventas].[ID_Cliente_Ref].[All]" dimensionUniqueName="[tbl_Ventas]" displayFolder="" count="0" memberValueDatatype="130" unbalanced="0"/>
    <cacheHierarchy uniqueName="[Measures].[Venta Total]" caption="Venta Total" measure="1" displayFolder="" measureGroup="tbl_Ventas" count="0" oneField="1">
      <fieldsUsage count="1">
        <fieldUsage x="1"/>
      </fieldsUsage>
    </cacheHierarchy>
    <cacheHierarchy uniqueName="[Measures].[Unidades Vendidas]" caption="Unidades Vendidas" measure="1" displayFolder="" measureGroup="tbl_Ventas" count="0" oneField="1">
      <fieldsUsage count="1">
        <fieldUsage x="2"/>
      </fieldsUsage>
    </cacheHierarchy>
    <cacheHierarchy uniqueName="[Measures].[Total Transacciones]" caption="Total Transacciones" measure="1" displayFolder="" measureGroup="tbl_Ventas" count="0"/>
    <cacheHierarchy uniqueName="[Measures].[__XL_Count tbl_Objetivos]" caption="__XL_Count tbl_Objetivos" measure="1" displayFolder="" measureGroup="tbl_Objetivos" count="0" hidden="1"/>
    <cacheHierarchy uniqueName="[Measures].[__XL_Count tbl_Productos]" caption="__XL_Count tbl_Productos" measure="1" displayFolder="" measureGroup="tbl_Productos" count="0" hidden="1"/>
    <cacheHierarchy uniqueName="[Measures].[__XL_Count tbl_Ventas]" caption="__XL_Count tbl_Ventas" measure="1" displayFolder="" measureGroup="tbl_Ventas" count="0" hidden="1"/>
    <cacheHierarchy uniqueName="[Measures].[__XL_Count tbl_Clientes]" caption="__XL_Count tbl_Clientes" measure="1" displayFolder="" measureGroup="tbl_Clientes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tbl_Clientes" uniqueName="[tbl_Clientes]" caption="tbl_Clientes"/>
    <dimension name="tbl_Objetivos" uniqueName="[tbl_Objetivos]" caption="tbl_Objetivos"/>
    <dimension name="tbl_Productos" uniqueName="[tbl_Productos]" caption="tbl_Productos"/>
    <dimension name="tbl_Ventas" uniqueName="[tbl_Ventas]" caption="tbl_Ventas"/>
  </dimensions>
  <measureGroups count="4">
    <measureGroup name="tbl_Clientes" caption="tbl_Clientes"/>
    <measureGroup name="tbl_Objetivos" caption="tbl_Objetivos"/>
    <measureGroup name="tbl_Productos" caption="tbl_Productos"/>
    <measureGroup name="tbl_Ventas" caption="tbl_Ventas"/>
  </measureGroups>
  <maps count="6">
    <map measureGroup="0" dimension="1"/>
    <map measureGroup="1" dimension="2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Martin Bellusci" refreshedDate="46270.686954513891" backgroundQuery="1" createdVersion="3" refreshedVersion="7" minRefreshableVersion="3" recordCount="0" supportSubquery="1" supportAdvancedDrill="1" xr:uid="{A8F45195-6162-42BB-8EC1-C6C61354A86D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6">
    <cacheHierarchy uniqueName="[tbl_Clientes].[ID_Cliente_Clave]" caption="ID_Cliente_Clave" attribute="1" defaultMemberUniqueName="[tbl_Clientes].[ID_Cliente_Clave].[All]" allUniqueName="[tbl_Clientes].[ID_Cliente_Clave].[All]" dimensionUniqueName="[tbl_Clientes]" displayFolder="" count="0" memberValueDatatype="130" unbalanced="0"/>
    <cacheHierarchy uniqueName="[tbl_Clientes].[Nombre_RazonSocial]" caption="Nombre_RazonSocial" attribute="1" defaultMemberUniqueName="[tbl_Clientes].[Nombre_RazonSocial].[All]" allUniqueName="[tbl_Clientes].[Nombre_RazonSocial].[All]" dimensionUniqueName="[tbl_Clientes]" displayFolder="" count="0" memberValueDatatype="130" unbalanced="0"/>
    <cacheHierarchy uniqueName="[tbl_Clientes].[Region_Geografica]" caption="Region_Geografica" attribute="1" defaultMemberUniqueName="[tbl_Clientes].[Region_Geografica].[All]" allUniqueName="[tbl_Clientes].[Region_Geografica].[All]" dimensionUniqueName="[tbl_Clientes]" displayFolder="" count="2" memberValueDatatype="130" unbalanced="0"/>
    <cacheHierarchy uniqueName="[tbl_Objetivos].[Mes_Num]" caption="Mes_Num" attribute="1" defaultMemberUniqueName="[tbl_Objetivos].[Mes_Num].[All]" allUniqueName="[tbl_Objetivos].[Mes_Num].[All]" dimensionUniqueName="[tbl_Objetivos]" displayFolder="" count="0" memberValueDatatype="20" unbalanced="0"/>
    <cacheHierarchy uniqueName="[tbl_Objetivos].[Año]" caption="Año" attribute="1" defaultMemberUniqueName="[tbl_Objetivos].[Año].[All]" allUniqueName="[tbl_Objetivos].[Año].[All]" dimensionUniqueName="[tbl_Objetivos]" displayFolder="" count="0" memberValueDatatype="20" unbalanced="0"/>
    <cacheHierarchy uniqueName="[tbl_Objetivos].[Categoria_Agrupador]" caption="Categoria_Agrupador" attribute="1" defaultMemberUniqueName="[tbl_Objetivos].[Categoria_Agrupador].[All]" allUniqueName="[tbl_Objetivos].[Categoria_Agrupador].[All]" dimensionUniqueName="[tbl_Objetivos]" displayFolder="" count="0" memberValueDatatype="130" unbalanced="0"/>
    <cacheHierarchy uniqueName="[tbl_Objetivos].[Cantidad_Registros]" caption="Cantidad_Registros" attribute="1" defaultMemberUniqueName="[tbl_Objetivos].[Cantidad_Registros].[All]" allUniqueName="[tbl_Objetivos].[Cantidad_Registros].[All]" dimensionUniqueName="[tbl_Objetivos]" displayFolder="" count="0" memberValueDatatype="20" unbalanced="0"/>
    <cacheHierarchy uniqueName="[tbl_Productos].[SKU_Clave]" caption="SKU_Clave" attribute="1" defaultMemberUniqueName="[tbl_Productos].[SKU_Clave].[All]" allUniqueName="[tbl_Productos].[SKU_Clave].[All]" dimensionUniqueName="[tbl_Productos]" displayFolder="" count="0" memberValueDatatype="130" unbalanced="0"/>
    <cacheHierarchy uniqueName="[tbl_Productos].[Producto_Descripcion]" caption="Producto_Descripcion" attribute="1" defaultMemberUniqueName="[tbl_Productos].[Producto_Descripcion].[All]" allUniqueName="[tbl_Productos].[Producto_Descripcion].[All]" dimensionUniqueName="[tbl_Productos]" displayFolder="" count="0" memberValueDatatype="130" unbalanced="0"/>
    <cacheHierarchy uniqueName="[tbl_Productos].[Categoria_Agrupador]" caption="Categoria_Agrupador" attribute="1" defaultMemberUniqueName="[tbl_Productos].[Categoria_Agrupador].[All]" allUniqueName="[tbl_Productos].[Categoria_Agrupador].[All]" dimensionUniqueName="[tbl_Productos]" displayFolder="" count="2" memberValueDatatype="130" unbalanced="0"/>
    <cacheHierarchy uniqueName="[tbl_Ventas].[Fecha_Operacion]" caption="Fecha_Operacion" attribute="1" time="1" defaultMemberUniqueName="[tbl_Ventas].[Fecha_Operacion].[All]" allUniqueName="[tbl_Ventas].[Fecha_Operacion].[All]" dimensionUniqueName="[tbl_Ventas]" displayFolder="" count="0" memberValueDatatype="7" unbalanced="0"/>
    <cacheHierarchy uniqueName="[tbl_Ventas].[ID_Transaccion]" caption="ID_Transaccion" attribute="1" defaultMemberUniqueName="[tbl_Ventas].[ID_Transaccion].[All]" allUniqueName="[tbl_Ventas].[ID_Transaccion].[All]" dimensionUniqueName="[tbl_Ventas]" displayFolder="" count="0" memberValueDatatype="130" unbalanced="0"/>
    <cacheHierarchy uniqueName="[tbl_Ventas].[SKU_Codigo_Ref]" caption="SKU_Codigo_Ref" attribute="1" defaultMemberUniqueName="[tbl_Ventas].[SKU_Codigo_Ref].[All]" allUniqueName="[tbl_Ventas].[SKU_Codigo_Ref].[All]" dimensionUniqueName="[tbl_Ventas]" displayFolder="" count="0" memberValueDatatype="130" unbalanced="0"/>
    <cacheHierarchy uniqueName="[tbl_Ventas].[Cantidad]" caption="Cantidad" attribute="1" defaultMemberUniqueName="[tbl_Ventas].[Cantidad].[All]" allUniqueName="[tbl_Ventas].[Cantidad].[All]" dimensionUniqueName="[tbl_Ventas]" displayFolder="" count="0" memberValueDatatype="20" unbalanced="0"/>
    <cacheHierarchy uniqueName="[tbl_Ventas].[Precio_Unitario]" caption="Precio_Unitario" attribute="1" defaultMemberUniqueName="[tbl_Ventas].[Precio_Unitario].[All]" allUniqueName="[tbl_Ventas].[Precio_Unitario].[All]" dimensionUniqueName="[tbl_Ventas]" displayFolder="" count="0" memberValueDatatype="5" unbalanced="0"/>
    <cacheHierarchy uniqueName="[tbl_Ventas].[Descuento]" caption="Descuento" attribute="1" defaultMemberUniqueName="[tbl_Ventas].[Descuento].[All]" allUniqueName="[tbl_Ventas].[Descuento].[All]" dimensionUniqueName="[tbl_Ventas]" displayFolder="" count="0" memberValueDatatype="5" unbalanced="0"/>
    <cacheHierarchy uniqueName="[tbl_Ventas].[Clasificacion_Venta]" caption="Clasificacion_Venta" attribute="1" defaultMemberUniqueName="[tbl_Ventas].[Clasificacion_Venta].[All]" allUniqueName="[tbl_Ventas].[Clasificacion_Venta].[All]" dimensionUniqueName="[tbl_Ventas]" displayFolder="" count="0" memberValueDatatype="130" unbalanced="0"/>
    <cacheHierarchy uniqueName="[tbl_Ventas].[ID_Cliente_Ref]" caption="ID_Cliente_Ref" attribute="1" defaultMemberUniqueName="[tbl_Ventas].[ID_Cliente_Ref].[All]" allUniqueName="[tbl_Ventas].[ID_Cliente_Ref].[All]" dimensionUniqueName="[tbl_Ventas]" displayFolder="" count="0" memberValueDatatype="130" unbalanced="0"/>
    <cacheHierarchy uniqueName="[Measures].[Venta Total]" caption="Venta Total" measure="1" displayFolder="" measureGroup="tbl_Ventas" count="0"/>
    <cacheHierarchy uniqueName="[Measures].[Unidades Vendidas]" caption="Unidades Vendidas" measure="1" displayFolder="" measureGroup="tbl_Ventas" count="0"/>
    <cacheHierarchy uniqueName="[Measures].[Total Transacciones]" caption="Total Transacciones" measure="1" displayFolder="" measureGroup="tbl_Ventas" count="0"/>
    <cacheHierarchy uniqueName="[Measures].[__XL_Count tbl_Objetivos]" caption="__XL_Count tbl_Objetivos" measure="1" displayFolder="" measureGroup="tbl_Objetivos" count="0" hidden="1"/>
    <cacheHierarchy uniqueName="[Measures].[__XL_Count tbl_Productos]" caption="__XL_Count tbl_Productos" measure="1" displayFolder="" measureGroup="tbl_Productos" count="0" hidden="1"/>
    <cacheHierarchy uniqueName="[Measures].[__XL_Count tbl_Ventas]" caption="__XL_Count tbl_Ventas" measure="1" displayFolder="" measureGroup="tbl_Ventas" count="0" hidden="1"/>
    <cacheHierarchy uniqueName="[Measures].[__XL_Count tbl_Clientes]" caption="__XL_Count tbl_Clientes" measure="1" displayFolder="" measureGroup="tbl_Client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7002811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D62EB-3695-4BEA-9BFD-6232D8743DC2}" name="Evolucion_Temporal_Ventas" cacheId="1" applyNumberFormats="0" applyBorderFormats="0" applyFontFormats="0" applyPatternFormats="0" applyAlignmentFormats="0" applyWidthHeightFormats="1" dataCaption="Valores" tag="9baf702b-dfe6-4c22-852c-09b7e4a87ac8" updatedVersion="7" minRefreshableVersion="3" useAutoFormatting="1" itemPrintTitles="1" createdVersion="7" indent="0" outline="1" outlineData="1" multipleFieldFilters="0" chartFormat="11" rowHeaderCaption="Fecha">
  <location ref="H2:J13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2"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6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0FFF5-80E7-4F35-91E5-32D3E8156182}" name="Ventas_Cat_Region" cacheId="0" applyNumberFormats="0" applyBorderFormats="0" applyFontFormats="0" applyPatternFormats="0" applyAlignmentFormats="0" applyWidthHeightFormats="1" dataCaption="Valores" tag="38dab2e7-37d9-4537-8698-5e2b35a01855" updatedVersion="7" minRefreshableVersion="3" useAutoFormatting="1" itemPrintTitles="1" createdVersion="7" indent="0" outline="1" outlineData="1" multipleFieldFilters="0" chartFormat="10" rowHeaderCaption="Categoría" colHeaderCaption="Región">
  <location ref="A1:F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formats count="9">
    <format dxfId="28">
      <pivotArea type="origin" dataOnly="0" labelOnly="1" outline="0" fieldPosition="0"/>
    </format>
    <format dxfId="27">
      <pivotArea field="1" type="button" dataOnly="0" labelOnly="1" outline="0" axis="axisCol" fieldPosition="0"/>
    </format>
    <format dxfId="26">
      <pivotArea type="origin" dataOnly="0" labelOnly="1" outline="0" fieldPosition="0"/>
    </format>
    <format dxfId="25">
      <pivotArea field="1" type="button" dataOnly="0" labelOnly="1" outline="0" axis="axisCol" fieldPosition="0"/>
    </format>
    <format dxfId="24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23">
      <pivotArea dataOnly="0" labelOnly="1" fieldPosition="0">
        <references count="1">
          <reference field="1" count="1">
            <x v="0"/>
          </reference>
        </references>
      </pivotArea>
    </format>
    <format dxfId="22">
      <pivotArea dataOnly="0" labelOnly="1" fieldPosition="0">
        <references count="1">
          <reference field="1" count="1">
            <x v="1"/>
          </reference>
        </references>
      </pivotArea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</formats>
  <chartFormats count="4"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6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9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oductos]"/>
        <x15:activeTabTopLevelEntity name="[tbl_Clientes]"/>
        <x15:activeTabTopLevelEntity name="[tbl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_Geografica" xr10:uid="{9E05EE63-4112-4A3B-853E-B39803F63F81}" sourceName="[tbl_Clientes].[Region_Geografica]">
  <pivotTables>
    <pivotTable tabId="13" name="Ventas_Cat_Region"/>
    <pivotTable tabId="13" name="Evolucion_Temporal_Ventas"/>
  </pivotTables>
  <data>
    <olap pivotCacheId="1670028118">
      <levels count="2">
        <level uniqueName="[tbl_Clientes].[Region_Geografica].[(All)]" sourceCaption="(All)" count="0"/>
        <level uniqueName="[tbl_Clientes].[Region_Geografica].[Region_Geografica]" sourceCaption="Region_Geografica" count="4">
          <ranges>
            <range startItem="0">
              <i n="[tbl_Clientes].[Region_Geografica].&amp;[Buenos Aires]" c="Buenos Aires"/>
              <i n="[tbl_Clientes].[Region_Geografica].&amp;[Córdoba]" c="Córdoba"/>
              <i n="[tbl_Clientes].[Region_Geografica].&amp;[Mendoza]" c="Mendoza"/>
              <i n="[tbl_Clientes].[Region_Geografica].&amp;[Sin Asignar]" c="Sin Asignar"/>
            </range>
          </ranges>
        </level>
      </levels>
      <selections count="1">
        <selection n="[tbl_Clientes].[Region_Geografic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Agrupador" xr10:uid="{D1120A51-B7E5-4ED4-8937-C353AA1CBCE3}" sourceName="[tbl_Productos].[Categoria_Agrupador]">
  <pivotTables>
    <pivotTable tabId="13" name="Ventas_Cat_Region"/>
    <pivotTable tabId="13" name="Evolucion_Temporal_Ventas"/>
  </pivotTables>
  <data>
    <olap pivotCacheId="1670028118">
      <levels count="2">
        <level uniqueName="[tbl_Productos].[Categoria_Agrupador].[(All)]" sourceCaption="(All)" count="0"/>
        <level uniqueName="[tbl_Productos].[Categoria_Agrupador].[Categoria_Agrupador]" sourceCaption="Categoria_Agrupador" count="4">
          <ranges>
            <range startItem="0">
              <i n="[tbl_Productos].[Categoria_Agrupador].&amp;[Electrónica]" c="Electrónica"/>
              <i n="[tbl_Productos].[Categoria_Agrupador].&amp;[Hogar]" c="Hogar"/>
              <i n="[tbl_Productos].[Categoria_Agrupador].&amp;[Línea Blanca]" c="Línea Blanca"/>
              <i n="[tbl_Productos].[Categoria_Agrupador].&amp;[Tecnología]" c="Tecnología"/>
            </range>
          </ranges>
        </level>
      </levels>
      <selections count="1">
        <selection n="[tbl_Productos].[Categoria_Agrupador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_Geografica" xr10:uid="{CB5B6710-A5EF-4D3B-9679-95A2D8F60C52}" cache="SegmentaciónDeDatos_Region_Geografica" caption="Region" level="1" rowHeight="234950"/>
  <slicer name="Categoria_Agrupador" xr10:uid="{66F604C2-36F1-40B8-8882-650D788C9D4E}" cache="SegmentaciónDeDatos_Categoria_Agrupador" caption="Categoria" level="1" style="SlicerStyleDark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AA453C-7EEF-4F68-84B5-3B93267DA30E}" name="tbl_Ventas" displayName="tbl_Ventas" ref="A1:H500" totalsRowShown="0" headerRowDxfId="17" dataDxfId="16">
  <autoFilter ref="A1:H500" xr:uid="{62AA453C-7EEF-4F68-84B5-3B93267DA30E}"/>
  <tableColumns count="8">
    <tableColumn id="1" xr3:uid="{2EAADA0E-8F4F-49CC-81DE-A436DA5E9961}" name="Fecha_Operacion" dataDxfId="15"/>
    <tableColumn id="2" xr3:uid="{1DBEAAAB-843A-423D-90BB-78EB5CFC08FC}" name="ID_Transaccion" dataDxfId="14"/>
    <tableColumn id="3" xr3:uid="{64A4AB7D-C2CE-4497-B23E-CC29B6ACD525}" name="SKU_Codigo_Ref" dataDxfId="13"/>
    <tableColumn id="4" xr3:uid="{D7BA91A0-AC6E-4FA8-8352-BEE0402553BC}" name="ID_Cliente_Ref" dataDxfId="12"/>
    <tableColumn id="5" xr3:uid="{32234C5B-FA14-428B-A307-9813DC7CC2F6}" name="Cantidad" dataDxfId="11"/>
    <tableColumn id="6" xr3:uid="{8342EF10-1CF2-438D-A10D-7DAB08D0C1B9}" name="Precio_Unitario" dataDxfId="10"/>
    <tableColumn id="7" xr3:uid="{2ECFF39B-908C-46E6-80AE-6B0201D55A64}" name="Descuento" dataDxfId="9"/>
    <tableColumn id="8" xr3:uid="{0015CCE6-6212-45FF-AEF7-21DDBC0DA1F0}" name="Clasificacion_Venta" dataDxfId="8">
      <calculatedColumnFormula>IF(tbl_Ventas[[#This Row],[Cantidad]]&gt;=10,"Venta Alta","Venta Normal")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ductos" displayName="tbl_Productos" ref="A1:C9" headerRowDxfId="7">
  <tableColumns count="3">
    <tableColumn id="1" xr3:uid="{00000000-0010-0000-0000-000001000000}" name="SKU_Clave"/>
    <tableColumn id="2" xr3:uid="{00000000-0010-0000-0000-000002000000}" name="Producto_Descripcion"/>
    <tableColumn id="3" xr3:uid="{00000000-0010-0000-0000-000003000000}" name="Categoria_Agrupador"/>
  </tableColumns>
  <tableStyleInfo name="Cat_Product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lientes" displayName="tbl_Clientes" ref="A1:C7" headerRowDxfId="6">
  <tableColumns count="3">
    <tableColumn id="1" xr3:uid="{00000000-0010-0000-0100-000001000000}" name="ID_Cliente_Clave"/>
    <tableColumn id="2" xr3:uid="{00000000-0010-0000-0100-000002000000}" name="Nombre_RazonSocial"/>
    <tableColumn id="3" xr3:uid="{00000000-0010-0000-0100-000003000000}" name="Region_Geografica"/>
  </tableColumns>
  <tableStyleInfo name="Cat_Client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155CEE-6C9C-46D4-A74F-4929FAAB0FBA}" name="tbl_Objetivos" displayName="tbl_Objetivos" ref="A1:D49" totalsRowShown="0" headerRowDxfId="5" dataDxfId="4">
  <autoFilter ref="A1:D49" xr:uid="{6E155CEE-6C9C-46D4-A74F-4929FAAB0FBA}"/>
  <tableColumns count="4">
    <tableColumn id="1" xr3:uid="{981A7746-7EC0-4711-963E-49779B1DDA7A}" name="Mes_Num" dataDxfId="3"/>
    <tableColumn id="2" xr3:uid="{C8F1CD29-66AF-4FA5-8EC8-CFC94EB12DD4}" name="Año" dataDxfId="2"/>
    <tableColumn id="3" xr3:uid="{EF686CC9-F740-446D-9025-B3E80A60403C}" name="Categoria_Agrupador" dataDxfId="1"/>
    <tableColumn id="4" xr3:uid="{5327809B-E8FA-4B00-B53B-3E169FE9B2C1}" name="Meta_Financiera" dataDxfId="0" dataCellStyle="Mon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90E3-1CFE-44FF-B875-B992B4E56B03}">
  <dimension ref="A1:Q31"/>
  <sheetViews>
    <sheetView showGridLines="0" tabSelected="1" topLeftCell="A4" zoomScaleNormal="100" workbookViewId="0">
      <selection activeCell="O14" sqref="O14"/>
    </sheetView>
  </sheetViews>
  <sheetFormatPr baseColWidth="10" defaultRowHeight="14.4" x14ac:dyDescent="0.3"/>
  <cols>
    <col min="1" max="1" width="28.44140625" customWidth="1"/>
    <col min="2" max="2" width="13.44140625" customWidth="1"/>
    <col min="3" max="3" width="19" bestFit="1" customWidth="1"/>
    <col min="4" max="4" width="19.6640625" bestFit="1" customWidth="1"/>
  </cols>
  <sheetData>
    <row r="1" spans="1:17" ht="14.4" customHeight="1" x14ac:dyDescent="0.3">
      <c r="A1" s="60" t="s">
        <v>556</v>
      </c>
      <c r="B1" s="60"/>
      <c r="C1" s="60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14.4" customHeight="1" x14ac:dyDescent="0.3">
      <c r="A2" s="60"/>
      <c r="B2" s="60"/>
      <c r="C2" s="60"/>
      <c r="D2" s="42"/>
      <c r="E2" s="63" t="s">
        <v>562</v>
      </c>
      <c r="F2" s="64"/>
      <c r="G2" s="64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15.6" x14ac:dyDescent="0.3">
      <c r="A4" s="45" t="s">
        <v>554</v>
      </c>
      <c r="B4" s="42"/>
      <c r="C4" s="45" t="s">
        <v>555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21" x14ac:dyDescent="0.4">
      <c r="A5" s="46">
        <f>Tablas_Dinamicas!F7</f>
        <v>1319638341.5700002</v>
      </c>
      <c r="B5" s="43"/>
      <c r="C5" s="47">
        <f>Tablas_Dinamicas!J13</f>
        <v>3308</v>
      </c>
      <c r="D5" s="43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spans="1:17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</row>
    <row r="7" spans="1:17" ht="25.8" x14ac:dyDescent="0.5">
      <c r="A7" s="44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8" spans="1:17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</row>
    <row r="9" spans="1:17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</row>
    <row r="10" spans="1:17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</row>
    <row r="11" spans="1:17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</row>
    <row r="12" spans="1:17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  <row r="13" spans="1:17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spans="1:17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</row>
    <row r="15" spans="1:17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</row>
    <row r="16" spans="1:17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</row>
    <row r="17" spans="1:17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spans="1:17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</row>
    <row r="19" spans="1:17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spans="1:17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</row>
    <row r="23" spans="1:17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</row>
    <row r="24" spans="1:17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</row>
    <row r="25" spans="1:17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 spans="1:17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17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 spans="1:17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</row>
    <row r="29" spans="1:17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</row>
    <row r="30" spans="1:17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</row>
    <row r="31" spans="1:17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</sheetData>
  <mergeCells count="1">
    <mergeCell ref="A1:C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27E8-058A-4BCA-81B4-399328DE4268}">
  <dimension ref="A1:J13"/>
  <sheetViews>
    <sheetView workbookViewId="0">
      <selection activeCell="E4" sqref="E4"/>
    </sheetView>
  </sheetViews>
  <sheetFormatPr baseColWidth="10" defaultRowHeight="14.4" x14ac:dyDescent="0.3"/>
  <cols>
    <col min="1" max="1" width="11.6640625" bestFit="1" customWidth="1"/>
    <col min="2" max="4" width="12.5546875" bestFit="1" customWidth="1"/>
    <col min="5" max="5" width="11.5546875" bestFit="1" customWidth="1"/>
    <col min="6" max="6" width="14.109375" bestFit="1" customWidth="1"/>
    <col min="7" max="7" width="16.21875" bestFit="1" customWidth="1"/>
    <col min="8" max="8" width="11.6640625" bestFit="1" customWidth="1"/>
    <col min="9" max="9" width="14.109375" bestFit="1" customWidth="1"/>
    <col min="10" max="10" width="16.44140625" bestFit="1" customWidth="1"/>
  </cols>
  <sheetData>
    <row r="1" spans="1:10" x14ac:dyDescent="0.3">
      <c r="A1" s="48" t="s">
        <v>554</v>
      </c>
      <c r="B1" s="48" t="s">
        <v>560</v>
      </c>
      <c r="C1" s="19"/>
      <c r="D1" s="19"/>
      <c r="E1" s="19"/>
      <c r="F1" s="20"/>
    </row>
    <row r="2" spans="1:10" x14ac:dyDescent="0.3">
      <c r="A2" s="22" t="s">
        <v>561</v>
      </c>
      <c r="B2" s="58" t="s">
        <v>48</v>
      </c>
      <c r="C2" s="59" t="s">
        <v>55</v>
      </c>
      <c r="D2" s="59" t="s">
        <v>61</v>
      </c>
      <c r="E2" s="56" t="s">
        <v>558</v>
      </c>
      <c r="F2" s="57" t="s">
        <v>553</v>
      </c>
      <c r="H2" s="22" t="s">
        <v>559</v>
      </c>
      <c r="I2" s="52" t="s">
        <v>554</v>
      </c>
      <c r="J2" s="37" t="s">
        <v>555</v>
      </c>
    </row>
    <row r="3" spans="1:10" x14ac:dyDescent="0.3">
      <c r="A3" s="23" t="s">
        <v>10</v>
      </c>
      <c r="B3" s="26">
        <v>72381136.280000016</v>
      </c>
      <c r="C3" s="27">
        <v>125209088.14000002</v>
      </c>
      <c r="D3" s="27">
        <v>180246921.50000012</v>
      </c>
      <c r="E3" s="27">
        <v>11718190</v>
      </c>
      <c r="F3" s="28">
        <v>389555335.91999984</v>
      </c>
      <c r="H3" s="35">
        <v>46023</v>
      </c>
      <c r="I3" s="53">
        <v>127952279.46000001</v>
      </c>
      <c r="J3" s="38">
        <v>328</v>
      </c>
    </row>
    <row r="4" spans="1:10" x14ac:dyDescent="0.3">
      <c r="A4" s="24" t="s">
        <v>24</v>
      </c>
      <c r="B4" s="29">
        <v>57288887.909999996</v>
      </c>
      <c r="C4" s="30">
        <v>118213966.41999999</v>
      </c>
      <c r="D4" s="30">
        <v>132552259.36</v>
      </c>
      <c r="E4" s="30"/>
      <c r="F4" s="31">
        <v>308055113.69000006</v>
      </c>
      <c r="H4" s="36">
        <v>46024</v>
      </c>
      <c r="I4" s="54">
        <v>189188238.33000007</v>
      </c>
      <c r="J4" s="39">
        <v>457</v>
      </c>
    </row>
    <row r="5" spans="1:10" x14ac:dyDescent="0.3">
      <c r="A5" s="24" t="s">
        <v>14</v>
      </c>
      <c r="B5" s="29">
        <v>25489572.73</v>
      </c>
      <c r="C5" s="30">
        <v>119568364.14</v>
      </c>
      <c r="D5" s="30">
        <v>129985845.28999999</v>
      </c>
      <c r="E5" s="30">
        <v>2718466.08</v>
      </c>
      <c r="F5" s="31">
        <v>277762248.24000013</v>
      </c>
      <c r="H5" s="36">
        <v>46025</v>
      </c>
      <c r="I5" s="54">
        <v>147385926.21999994</v>
      </c>
      <c r="J5" s="39">
        <v>382</v>
      </c>
    </row>
    <row r="6" spans="1:10" x14ac:dyDescent="0.3">
      <c r="A6" s="24" t="s">
        <v>21</v>
      </c>
      <c r="B6" s="29">
        <v>52190424.380000003</v>
      </c>
      <c r="C6" s="30">
        <v>166093187.69999999</v>
      </c>
      <c r="D6" s="30">
        <v>125982031.64</v>
      </c>
      <c r="E6" s="30"/>
      <c r="F6" s="31">
        <v>344265643.71999997</v>
      </c>
      <c r="H6" s="36">
        <v>46026</v>
      </c>
      <c r="I6" s="54">
        <v>134160637.56999996</v>
      </c>
      <c r="J6" s="39">
        <v>326</v>
      </c>
    </row>
    <row r="7" spans="1:10" x14ac:dyDescent="0.3">
      <c r="A7" s="25" t="s">
        <v>553</v>
      </c>
      <c r="B7" s="32">
        <v>207350021.30000004</v>
      </c>
      <c r="C7" s="33">
        <v>529084606.4000001</v>
      </c>
      <c r="D7" s="33">
        <v>568767057.78999984</v>
      </c>
      <c r="E7" s="33">
        <v>14436656.079999998</v>
      </c>
      <c r="F7" s="34">
        <v>1319638341.5700002</v>
      </c>
      <c r="H7" s="36">
        <v>46027</v>
      </c>
      <c r="I7" s="54">
        <v>162443017.27000001</v>
      </c>
      <c r="J7" s="39">
        <v>428</v>
      </c>
    </row>
    <row r="8" spans="1:10" x14ac:dyDescent="0.3">
      <c r="H8" s="36">
        <v>46028</v>
      </c>
      <c r="I8" s="54">
        <v>123610079.95000003</v>
      </c>
      <c r="J8" s="39">
        <v>286</v>
      </c>
    </row>
    <row r="9" spans="1:10" x14ac:dyDescent="0.3">
      <c r="H9" s="36">
        <v>46029</v>
      </c>
      <c r="I9" s="54">
        <v>155626140.63999999</v>
      </c>
      <c r="J9" s="39">
        <v>365</v>
      </c>
    </row>
    <row r="10" spans="1:10" x14ac:dyDescent="0.3">
      <c r="H10" s="36">
        <v>46030</v>
      </c>
      <c r="I10" s="54">
        <v>137635060.02000001</v>
      </c>
      <c r="J10" s="39">
        <v>362</v>
      </c>
    </row>
    <row r="11" spans="1:10" x14ac:dyDescent="0.3">
      <c r="H11" s="36">
        <v>46031</v>
      </c>
      <c r="I11" s="54">
        <v>132700445.14999996</v>
      </c>
      <c r="J11" s="39">
        <v>343</v>
      </c>
    </row>
    <row r="12" spans="1:10" x14ac:dyDescent="0.3">
      <c r="H12" s="36">
        <v>46032</v>
      </c>
      <c r="I12" s="54">
        <v>8936516.9600000009</v>
      </c>
      <c r="J12" s="39">
        <v>31</v>
      </c>
    </row>
    <row r="13" spans="1:10" x14ac:dyDescent="0.3">
      <c r="H13" s="25" t="s">
        <v>553</v>
      </c>
      <c r="I13" s="55">
        <v>1319638341.5700002</v>
      </c>
      <c r="J13" s="40">
        <v>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1"/>
  <sheetViews>
    <sheetView topLeftCell="A343" workbookViewId="0">
      <selection activeCell="D501" sqref="D501"/>
    </sheetView>
  </sheetViews>
  <sheetFormatPr baseColWidth="10" defaultColWidth="14.44140625" defaultRowHeight="15" customHeight="1" x14ac:dyDescent="0.3"/>
  <cols>
    <col min="1" max="1" width="24.44140625" customWidth="1"/>
    <col min="2" max="2" width="25" customWidth="1"/>
    <col min="3" max="3" width="18.33203125" customWidth="1"/>
    <col min="4" max="4" width="17" customWidth="1"/>
    <col min="5" max="5" width="13" customWidth="1"/>
    <col min="6" max="6" width="19.109375" customWidth="1"/>
    <col min="7" max="7" width="19.33203125" style="11" customWidth="1"/>
    <col min="8" max="8" width="19.33203125" customWidth="1"/>
  </cols>
  <sheetData>
    <row r="1" spans="1:9" ht="15" customHeight="1" x14ac:dyDescent="0.3">
      <c r="A1" s="6" t="s">
        <v>531</v>
      </c>
      <c r="B1" s="6" t="s">
        <v>532</v>
      </c>
      <c r="C1" s="6" t="s">
        <v>533</v>
      </c>
      <c r="D1" s="6" t="s">
        <v>530</v>
      </c>
      <c r="E1" s="6" t="s">
        <v>534</v>
      </c>
      <c r="F1" s="7" t="s">
        <v>535</v>
      </c>
      <c r="G1" s="9" t="s">
        <v>536</v>
      </c>
      <c r="H1" s="16" t="s">
        <v>552</v>
      </c>
    </row>
    <row r="2" spans="1:9" ht="14.4" x14ac:dyDescent="0.3">
      <c r="A2" s="1">
        <v>46023</v>
      </c>
      <c r="B2" s="2" t="s">
        <v>0</v>
      </c>
      <c r="C2" s="2" t="s">
        <v>1</v>
      </c>
      <c r="D2" s="2" t="s">
        <v>2</v>
      </c>
      <c r="E2" s="2">
        <v>10</v>
      </c>
      <c r="F2" s="8">
        <v>838188</v>
      </c>
      <c r="G2" s="10">
        <v>0.08</v>
      </c>
      <c r="H2" t="str">
        <f>IF(tbl_Ventas[[#This Row],[Cantidad]]&gt;=10,"Venta Alta","Venta Normal")</f>
        <v>Venta Alta</v>
      </c>
      <c r="I2" s="2"/>
    </row>
    <row r="3" spans="1:9" ht="14.4" x14ac:dyDescent="0.3">
      <c r="A3" s="1">
        <v>46023</v>
      </c>
      <c r="B3" s="2" t="s">
        <v>3</v>
      </c>
      <c r="C3" s="2" t="s">
        <v>5</v>
      </c>
      <c r="D3" s="2" t="s">
        <v>2</v>
      </c>
      <c r="E3" s="2">
        <v>5</v>
      </c>
      <c r="F3" s="8">
        <v>298580</v>
      </c>
      <c r="G3" s="11">
        <v>0</v>
      </c>
      <c r="H3" s="17" t="str">
        <f>IF(tbl_Ventas[[#This Row],[Cantidad]]&gt;=10,"Venta Alta","Venta Normal")</f>
        <v>Venta Normal</v>
      </c>
    </row>
    <row r="4" spans="1:9" ht="14.4" x14ac:dyDescent="0.3">
      <c r="A4" s="1">
        <v>46023</v>
      </c>
      <c r="B4" s="2" t="s">
        <v>6</v>
      </c>
      <c r="C4" s="2" t="s">
        <v>7</v>
      </c>
      <c r="D4" s="2" t="s">
        <v>2</v>
      </c>
      <c r="E4" s="2">
        <v>8</v>
      </c>
      <c r="F4" s="8">
        <v>508726</v>
      </c>
      <c r="G4" s="10">
        <v>0.08</v>
      </c>
      <c r="H4" s="18" t="str">
        <f>IF(tbl_Ventas[[#This Row],[Cantidad]]&gt;=10,"Venta Alta","Venta Normal")</f>
        <v>Venta Normal</v>
      </c>
    </row>
    <row r="5" spans="1:9" ht="14.4" x14ac:dyDescent="0.3">
      <c r="A5" s="1">
        <v>46023</v>
      </c>
      <c r="B5" s="2" t="s">
        <v>11</v>
      </c>
      <c r="C5" s="2" t="s">
        <v>12</v>
      </c>
      <c r="D5" s="2" t="s">
        <v>13</v>
      </c>
      <c r="E5" s="2">
        <v>8</v>
      </c>
      <c r="F5" s="8">
        <v>426039</v>
      </c>
      <c r="G5" s="11">
        <v>0</v>
      </c>
      <c r="H5" s="17" t="str">
        <f>IF(tbl_Ventas[[#This Row],[Cantidad]]&gt;=10,"Venta Alta","Venta Normal")</f>
        <v>Venta Normal</v>
      </c>
    </row>
    <row r="6" spans="1:9" ht="14.4" x14ac:dyDescent="0.3">
      <c r="A6" s="1">
        <v>46023</v>
      </c>
      <c r="B6" s="2" t="s">
        <v>15</v>
      </c>
      <c r="C6" s="2" t="s">
        <v>16</v>
      </c>
      <c r="D6" s="2" t="s">
        <v>17</v>
      </c>
      <c r="E6" s="2">
        <v>1</v>
      </c>
      <c r="F6" s="8">
        <v>289599</v>
      </c>
      <c r="G6" s="11">
        <v>0</v>
      </c>
      <c r="H6" s="17" t="str">
        <f>IF(tbl_Ventas[[#This Row],[Cantidad]]&gt;=10,"Venta Alta","Venta Normal")</f>
        <v>Venta Normal</v>
      </c>
    </row>
    <row r="7" spans="1:9" ht="14.4" x14ac:dyDescent="0.3">
      <c r="A7" s="1">
        <v>46023</v>
      </c>
      <c r="B7" s="2" t="s">
        <v>20</v>
      </c>
      <c r="C7" s="2" t="s">
        <v>22</v>
      </c>
      <c r="D7" s="2" t="s">
        <v>2</v>
      </c>
      <c r="E7" s="2">
        <v>2</v>
      </c>
      <c r="F7" s="8">
        <v>309965</v>
      </c>
      <c r="G7" s="11">
        <v>0</v>
      </c>
      <c r="H7" s="17" t="str">
        <f>IF(tbl_Ventas[[#This Row],[Cantidad]]&gt;=10,"Venta Alta","Venta Normal")</f>
        <v>Venta Normal</v>
      </c>
    </row>
    <row r="8" spans="1:9" ht="14.4" x14ac:dyDescent="0.3">
      <c r="A8" s="1">
        <v>46023</v>
      </c>
      <c r="B8" s="2" t="s">
        <v>23</v>
      </c>
      <c r="C8" s="2" t="s">
        <v>22</v>
      </c>
      <c r="D8" s="2" t="s">
        <v>25</v>
      </c>
      <c r="E8" s="2">
        <v>5</v>
      </c>
      <c r="F8" s="8">
        <v>519345</v>
      </c>
      <c r="G8" s="10">
        <v>0.04</v>
      </c>
      <c r="H8" s="18" t="str">
        <f>IF(tbl_Ventas[[#This Row],[Cantidad]]&gt;=10,"Venta Alta","Venta Normal")</f>
        <v>Venta Normal</v>
      </c>
    </row>
    <row r="9" spans="1:9" ht="14.4" x14ac:dyDescent="0.3">
      <c r="A9" s="1">
        <v>46023</v>
      </c>
      <c r="B9" s="2" t="s">
        <v>26</v>
      </c>
      <c r="C9" s="2" t="s">
        <v>12</v>
      </c>
      <c r="D9" s="2" t="s">
        <v>17</v>
      </c>
      <c r="E9" s="2">
        <v>1</v>
      </c>
      <c r="F9" s="8">
        <v>767962</v>
      </c>
      <c r="G9" s="10">
        <v>0.14000000000000001</v>
      </c>
      <c r="H9" s="18" t="str">
        <f>IF(tbl_Ventas[[#This Row],[Cantidad]]&gt;=10,"Venta Alta","Venta Normal")</f>
        <v>Venta Normal</v>
      </c>
    </row>
    <row r="10" spans="1:9" ht="14.4" x14ac:dyDescent="0.3">
      <c r="A10" s="1">
        <v>46023</v>
      </c>
      <c r="B10" s="2" t="s">
        <v>27</v>
      </c>
      <c r="C10" s="2" t="s">
        <v>5</v>
      </c>
      <c r="D10" s="2" t="s">
        <v>25</v>
      </c>
      <c r="E10" s="2">
        <v>2</v>
      </c>
      <c r="F10" s="8">
        <v>543276</v>
      </c>
      <c r="G10" s="10">
        <v>0.14000000000000001</v>
      </c>
      <c r="H10" s="18" t="str">
        <f>IF(tbl_Ventas[[#This Row],[Cantidad]]&gt;=10,"Venta Alta","Venta Normal")</f>
        <v>Venta Normal</v>
      </c>
    </row>
    <row r="11" spans="1:9" ht="14.4" x14ac:dyDescent="0.3">
      <c r="A11" s="1">
        <v>46023</v>
      </c>
      <c r="B11" s="2" t="s">
        <v>28</v>
      </c>
      <c r="C11" s="2" t="s">
        <v>5</v>
      </c>
      <c r="D11" s="2" t="s">
        <v>13</v>
      </c>
      <c r="E11" s="2">
        <v>8</v>
      </c>
      <c r="F11" s="8">
        <v>266017</v>
      </c>
      <c r="G11" s="10">
        <v>0.06</v>
      </c>
      <c r="H11" s="18" t="str">
        <f>IF(tbl_Ventas[[#This Row],[Cantidad]]&gt;=10,"Venta Alta","Venta Normal")</f>
        <v>Venta Normal</v>
      </c>
    </row>
    <row r="12" spans="1:9" ht="14.4" x14ac:dyDescent="0.3">
      <c r="A12" s="1">
        <v>46023</v>
      </c>
      <c r="B12" s="2" t="s">
        <v>29</v>
      </c>
      <c r="C12" s="2" t="s">
        <v>7</v>
      </c>
      <c r="D12" s="2" t="s">
        <v>13</v>
      </c>
      <c r="E12" s="2">
        <v>10</v>
      </c>
      <c r="F12" s="8">
        <v>233861</v>
      </c>
      <c r="G12" s="10">
        <v>7.0000000000000007E-2</v>
      </c>
      <c r="H12" s="18" t="str">
        <f>IF(tbl_Ventas[[#This Row],[Cantidad]]&gt;=10,"Venta Alta","Venta Normal")</f>
        <v>Venta Alta</v>
      </c>
    </row>
    <row r="13" spans="1:9" ht="14.4" x14ac:dyDescent="0.3">
      <c r="A13" s="1">
        <v>46023</v>
      </c>
      <c r="B13" s="2" t="s">
        <v>30</v>
      </c>
      <c r="C13" s="2" t="s">
        <v>1</v>
      </c>
      <c r="D13" s="2" t="s">
        <v>17</v>
      </c>
      <c r="E13" s="2">
        <v>11</v>
      </c>
      <c r="F13" s="8">
        <v>538553</v>
      </c>
      <c r="G13" s="12">
        <v>0.13</v>
      </c>
      <c r="H13" s="17" t="str">
        <f>IF(tbl_Ventas[[#This Row],[Cantidad]]&gt;=10,"Venta Alta","Venta Normal")</f>
        <v>Venta Alta</v>
      </c>
    </row>
    <row r="14" spans="1:9" ht="14.4" x14ac:dyDescent="0.3">
      <c r="A14" s="1">
        <v>46023</v>
      </c>
      <c r="B14" s="2" t="s">
        <v>31</v>
      </c>
      <c r="C14" s="2" t="s">
        <v>1</v>
      </c>
      <c r="D14" s="2" t="s">
        <v>17</v>
      </c>
      <c r="E14" s="2">
        <v>7</v>
      </c>
      <c r="F14" s="8">
        <v>201167</v>
      </c>
      <c r="G14" s="10">
        <v>0.03</v>
      </c>
      <c r="H14" s="18" t="str">
        <f>IF(tbl_Ventas[[#This Row],[Cantidad]]&gt;=10,"Venta Alta","Venta Normal")</f>
        <v>Venta Normal</v>
      </c>
    </row>
    <row r="15" spans="1:9" ht="14.4" x14ac:dyDescent="0.3">
      <c r="A15" s="1">
        <v>46023</v>
      </c>
      <c r="B15" s="2" t="s">
        <v>32</v>
      </c>
      <c r="C15" s="2" t="s">
        <v>33</v>
      </c>
      <c r="D15" s="2" t="s">
        <v>13</v>
      </c>
      <c r="E15" s="2">
        <v>2</v>
      </c>
      <c r="F15" s="8">
        <v>240074</v>
      </c>
      <c r="G15" s="10">
        <v>0.04</v>
      </c>
      <c r="H15" s="18" t="str">
        <f>IF(tbl_Ventas[[#This Row],[Cantidad]]&gt;=10,"Venta Alta","Venta Normal")</f>
        <v>Venta Normal</v>
      </c>
    </row>
    <row r="16" spans="1:9" ht="14.4" x14ac:dyDescent="0.3">
      <c r="A16" s="1">
        <v>46023</v>
      </c>
      <c r="B16" s="2" t="s">
        <v>34</v>
      </c>
      <c r="C16" s="2" t="s">
        <v>5</v>
      </c>
      <c r="D16" s="2" t="s">
        <v>17</v>
      </c>
      <c r="E16" s="2">
        <v>7</v>
      </c>
      <c r="F16" s="8">
        <v>317261</v>
      </c>
      <c r="G16" s="10">
        <v>0.12</v>
      </c>
      <c r="H16" s="18" t="str">
        <f>IF(tbl_Ventas[[#This Row],[Cantidad]]&gt;=10,"Venta Alta","Venta Normal")</f>
        <v>Venta Normal</v>
      </c>
    </row>
    <row r="17" spans="1:8" ht="14.4" x14ac:dyDescent="0.3">
      <c r="A17" s="1">
        <v>46023</v>
      </c>
      <c r="B17" s="2" t="s">
        <v>35</v>
      </c>
      <c r="C17" s="2" t="s">
        <v>22</v>
      </c>
      <c r="D17" s="2" t="s">
        <v>2</v>
      </c>
      <c r="E17" s="2">
        <v>10</v>
      </c>
      <c r="F17" s="8">
        <v>609207</v>
      </c>
      <c r="G17" s="11">
        <v>0</v>
      </c>
      <c r="H17" s="17" t="str">
        <f>IF(tbl_Ventas[[#This Row],[Cantidad]]&gt;=10,"Venta Alta","Venta Normal")</f>
        <v>Venta Alta</v>
      </c>
    </row>
    <row r="18" spans="1:8" ht="14.4" x14ac:dyDescent="0.3">
      <c r="A18" s="1">
        <v>46023</v>
      </c>
      <c r="B18" s="2" t="s">
        <v>36</v>
      </c>
      <c r="C18" s="2" t="s">
        <v>1</v>
      </c>
      <c r="D18" s="2" t="s">
        <v>2</v>
      </c>
      <c r="E18" s="2">
        <v>9</v>
      </c>
      <c r="F18" s="8">
        <v>529164</v>
      </c>
      <c r="G18" s="10">
        <v>0.13</v>
      </c>
      <c r="H18" s="18" t="str">
        <f>IF(tbl_Ventas[[#This Row],[Cantidad]]&gt;=10,"Venta Alta","Venta Normal")</f>
        <v>Venta Normal</v>
      </c>
    </row>
    <row r="19" spans="1:8" ht="14.4" x14ac:dyDescent="0.3">
      <c r="A19" s="1">
        <v>46023</v>
      </c>
      <c r="B19" s="2" t="s">
        <v>39</v>
      </c>
      <c r="C19" s="2" t="s">
        <v>16</v>
      </c>
      <c r="D19" s="2" t="s">
        <v>2</v>
      </c>
      <c r="E19" s="2">
        <v>11</v>
      </c>
      <c r="F19" s="8">
        <v>302597</v>
      </c>
      <c r="G19" s="11">
        <v>0</v>
      </c>
      <c r="H19" s="17" t="str">
        <f>IF(tbl_Ventas[[#This Row],[Cantidad]]&gt;=10,"Venta Alta","Venta Normal")</f>
        <v>Venta Alta</v>
      </c>
    </row>
    <row r="20" spans="1:8" ht="14.4" x14ac:dyDescent="0.3">
      <c r="A20" s="1">
        <v>46023</v>
      </c>
      <c r="B20" s="2" t="s">
        <v>41</v>
      </c>
      <c r="C20" s="2" t="s">
        <v>7</v>
      </c>
      <c r="D20" s="2" t="s">
        <v>25</v>
      </c>
      <c r="E20" s="2">
        <v>5</v>
      </c>
      <c r="F20" s="8">
        <v>264871</v>
      </c>
      <c r="G20" s="10">
        <v>0.03</v>
      </c>
      <c r="H20" s="18" t="str">
        <f>IF(tbl_Ventas[[#This Row],[Cantidad]]&gt;=10,"Venta Alta","Venta Normal")</f>
        <v>Venta Normal</v>
      </c>
    </row>
    <row r="21" spans="1:8" ht="14.4" x14ac:dyDescent="0.3">
      <c r="A21" s="1">
        <v>46023</v>
      </c>
      <c r="B21" s="2" t="s">
        <v>42</v>
      </c>
      <c r="C21" s="2" t="s">
        <v>33</v>
      </c>
      <c r="D21" s="2" t="s">
        <v>2</v>
      </c>
      <c r="E21" s="2">
        <v>11</v>
      </c>
      <c r="F21" s="8">
        <v>555339</v>
      </c>
      <c r="G21" s="10">
        <v>0.06</v>
      </c>
      <c r="H21" s="18" t="str">
        <f>IF(tbl_Ventas[[#This Row],[Cantidad]]&gt;=10,"Venta Alta","Venta Normal")</f>
        <v>Venta Alta</v>
      </c>
    </row>
    <row r="22" spans="1:8" ht="15.75" customHeight="1" x14ac:dyDescent="0.3">
      <c r="A22" s="1">
        <v>46023</v>
      </c>
      <c r="B22" s="2" t="s">
        <v>43</v>
      </c>
      <c r="C22" s="2" t="s">
        <v>1</v>
      </c>
      <c r="D22" s="2" t="s">
        <v>17</v>
      </c>
      <c r="E22" s="2">
        <v>3</v>
      </c>
      <c r="F22" s="8">
        <v>608599</v>
      </c>
      <c r="G22" s="11">
        <v>0</v>
      </c>
      <c r="H22" s="17" t="str">
        <f>IF(tbl_Ventas[[#This Row],[Cantidad]]&gt;=10,"Venta Alta","Venta Normal")</f>
        <v>Venta Normal</v>
      </c>
    </row>
    <row r="23" spans="1:8" ht="15.75" customHeight="1" x14ac:dyDescent="0.3">
      <c r="A23" s="1">
        <v>46023</v>
      </c>
      <c r="B23" s="2" t="s">
        <v>44</v>
      </c>
      <c r="C23" s="2" t="s">
        <v>7</v>
      </c>
      <c r="D23" s="2" t="s">
        <v>17</v>
      </c>
      <c r="E23" s="2">
        <v>7</v>
      </c>
      <c r="F23" s="8">
        <v>317449</v>
      </c>
      <c r="G23" s="10">
        <v>0.15</v>
      </c>
      <c r="H23" s="18" t="str">
        <f>IF(tbl_Ventas[[#This Row],[Cantidad]]&gt;=10,"Venta Alta","Venta Normal")</f>
        <v>Venta Normal</v>
      </c>
    </row>
    <row r="24" spans="1:8" ht="15.75" customHeight="1" x14ac:dyDescent="0.3">
      <c r="A24" s="1">
        <v>46023</v>
      </c>
      <c r="B24" s="2" t="s">
        <v>47</v>
      </c>
      <c r="C24" s="2" t="s">
        <v>1</v>
      </c>
      <c r="D24" s="2" t="s">
        <v>13</v>
      </c>
      <c r="E24" s="2">
        <v>5</v>
      </c>
      <c r="F24" s="8">
        <v>768820</v>
      </c>
      <c r="G24" s="10">
        <v>0.13</v>
      </c>
      <c r="H24" s="18" t="str">
        <f>IF(tbl_Ventas[[#This Row],[Cantidad]]&gt;=10,"Venta Alta","Venta Normal")</f>
        <v>Venta Normal</v>
      </c>
    </row>
    <row r="25" spans="1:8" ht="15.75" customHeight="1" x14ac:dyDescent="0.3">
      <c r="A25" s="1">
        <v>46023</v>
      </c>
      <c r="B25" s="2" t="s">
        <v>49</v>
      </c>
      <c r="C25" s="2" t="s">
        <v>5</v>
      </c>
      <c r="D25" s="2" t="s">
        <v>13</v>
      </c>
      <c r="E25" s="2">
        <v>6</v>
      </c>
      <c r="F25" s="8">
        <v>65549</v>
      </c>
      <c r="G25" s="10">
        <v>0.03</v>
      </c>
      <c r="H25" s="18" t="str">
        <f>IF(tbl_Ventas[[#This Row],[Cantidad]]&gt;=10,"Venta Alta","Venta Normal")</f>
        <v>Venta Normal</v>
      </c>
    </row>
    <row r="26" spans="1:8" ht="15.75" customHeight="1" x14ac:dyDescent="0.3">
      <c r="A26" s="1">
        <v>46023</v>
      </c>
      <c r="B26" s="2" t="s">
        <v>50</v>
      </c>
      <c r="C26" s="2" t="s">
        <v>16</v>
      </c>
      <c r="D26" s="2" t="s">
        <v>25</v>
      </c>
      <c r="E26" s="2">
        <v>8</v>
      </c>
      <c r="F26" s="8">
        <v>47034</v>
      </c>
      <c r="G26" s="10">
        <v>0.11</v>
      </c>
      <c r="H26" s="18" t="str">
        <f>IF(tbl_Ventas[[#This Row],[Cantidad]]&gt;=10,"Venta Alta","Venta Normal")</f>
        <v>Venta Normal</v>
      </c>
    </row>
    <row r="27" spans="1:8" ht="15.75" customHeight="1" x14ac:dyDescent="0.3">
      <c r="A27" s="1">
        <v>46023</v>
      </c>
      <c r="B27" s="2" t="s">
        <v>54</v>
      </c>
      <c r="C27" s="2" t="s">
        <v>5</v>
      </c>
      <c r="D27" s="2" t="s">
        <v>2</v>
      </c>
      <c r="E27" s="2">
        <v>4</v>
      </c>
      <c r="F27" s="8">
        <v>610160</v>
      </c>
      <c r="G27" s="10">
        <v>0.08</v>
      </c>
      <c r="H27" s="18" t="str">
        <f>IF(tbl_Ventas[[#This Row],[Cantidad]]&gt;=10,"Venta Alta","Venta Normal")</f>
        <v>Venta Normal</v>
      </c>
    </row>
    <row r="28" spans="1:8" ht="15.75" customHeight="1" x14ac:dyDescent="0.3">
      <c r="A28" s="1">
        <v>46023</v>
      </c>
      <c r="B28" s="2" t="s">
        <v>56</v>
      </c>
      <c r="C28" s="2" t="s">
        <v>33</v>
      </c>
      <c r="D28" s="2" t="s">
        <v>2</v>
      </c>
      <c r="E28" s="2">
        <v>3</v>
      </c>
      <c r="F28" s="8">
        <v>154024</v>
      </c>
      <c r="G28" s="10">
        <v>0.11</v>
      </c>
      <c r="H28" s="18" t="str">
        <f>IF(tbl_Ventas[[#This Row],[Cantidad]]&gt;=10,"Venta Alta","Venta Normal")</f>
        <v>Venta Normal</v>
      </c>
    </row>
    <row r="29" spans="1:8" ht="15.75" customHeight="1" x14ac:dyDescent="0.3">
      <c r="A29" s="1">
        <v>46023</v>
      </c>
      <c r="B29" s="2" t="s">
        <v>57</v>
      </c>
      <c r="C29" s="2" t="s">
        <v>1</v>
      </c>
      <c r="D29" s="2" t="s">
        <v>13</v>
      </c>
      <c r="E29" s="2">
        <v>8</v>
      </c>
      <c r="F29" s="8">
        <v>183722</v>
      </c>
      <c r="G29" s="10">
        <v>0.15</v>
      </c>
      <c r="H29" s="18" t="str">
        <f>IF(tbl_Ventas[[#This Row],[Cantidad]]&gt;=10,"Venta Alta","Venta Normal")</f>
        <v>Venta Normal</v>
      </c>
    </row>
    <row r="30" spans="1:8" ht="15.75" customHeight="1" x14ac:dyDescent="0.3">
      <c r="A30" s="1">
        <v>46023</v>
      </c>
      <c r="B30" s="2" t="s">
        <v>59</v>
      </c>
      <c r="C30" s="2" t="s">
        <v>7</v>
      </c>
      <c r="D30" s="2" t="s">
        <v>17</v>
      </c>
      <c r="E30" s="2">
        <v>12</v>
      </c>
      <c r="F30" s="8">
        <v>529687</v>
      </c>
      <c r="G30" s="10">
        <v>0.03</v>
      </c>
      <c r="H30" s="18" t="str">
        <f>IF(tbl_Ventas[[#This Row],[Cantidad]]&gt;=10,"Venta Alta","Venta Normal")</f>
        <v>Venta Alta</v>
      </c>
    </row>
    <row r="31" spans="1:8" ht="15.75" customHeight="1" x14ac:dyDescent="0.3">
      <c r="A31" s="1">
        <v>46023</v>
      </c>
      <c r="B31" s="2" t="s">
        <v>62</v>
      </c>
      <c r="C31" s="2" t="s">
        <v>5</v>
      </c>
      <c r="D31" s="2" t="s">
        <v>25</v>
      </c>
      <c r="E31" s="2">
        <v>9</v>
      </c>
      <c r="F31" s="8">
        <v>663248</v>
      </c>
      <c r="G31" s="11">
        <v>0</v>
      </c>
      <c r="H31" s="17" t="str">
        <f>IF(tbl_Ventas[[#This Row],[Cantidad]]&gt;=10,"Venta Alta","Venta Normal")</f>
        <v>Venta Normal</v>
      </c>
    </row>
    <row r="32" spans="1:8" ht="15.75" customHeight="1" x14ac:dyDescent="0.3">
      <c r="A32" s="1">
        <v>46023</v>
      </c>
      <c r="B32" s="2" t="s">
        <v>64</v>
      </c>
      <c r="C32" s="2" t="s">
        <v>22</v>
      </c>
      <c r="D32" s="2" t="s">
        <v>17</v>
      </c>
      <c r="E32" s="2">
        <v>9</v>
      </c>
      <c r="F32" s="8">
        <v>653232</v>
      </c>
      <c r="G32" s="11">
        <v>0</v>
      </c>
      <c r="H32" s="17" t="str">
        <f>IF(tbl_Ventas[[#This Row],[Cantidad]]&gt;=10,"Venta Alta","Venta Normal")</f>
        <v>Venta Normal</v>
      </c>
    </row>
    <row r="33" spans="1:8" ht="15.75" customHeight="1" x14ac:dyDescent="0.3">
      <c r="A33" s="1">
        <v>46023</v>
      </c>
      <c r="B33" s="2" t="s">
        <v>65</v>
      </c>
      <c r="C33" s="2" t="s">
        <v>1</v>
      </c>
      <c r="D33" s="2" t="s">
        <v>25</v>
      </c>
      <c r="E33" s="2">
        <v>11</v>
      </c>
      <c r="F33" s="8">
        <v>55850</v>
      </c>
      <c r="G33" s="11">
        <v>0</v>
      </c>
      <c r="H33" s="17" t="str">
        <f>IF(tbl_Ventas[[#This Row],[Cantidad]]&gt;=10,"Venta Alta","Venta Normal")</f>
        <v>Venta Alta</v>
      </c>
    </row>
    <row r="34" spans="1:8" ht="15.75" customHeight="1" x14ac:dyDescent="0.3">
      <c r="A34" s="1">
        <v>46023</v>
      </c>
      <c r="B34" s="2" t="s">
        <v>67</v>
      </c>
      <c r="C34" s="2" t="s">
        <v>22</v>
      </c>
      <c r="D34" s="2" t="s">
        <v>25</v>
      </c>
      <c r="E34" s="2">
        <v>7</v>
      </c>
      <c r="F34" s="8">
        <v>848884</v>
      </c>
      <c r="G34" s="10">
        <v>0.14000000000000001</v>
      </c>
      <c r="H34" s="18" t="str">
        <f>IF(tbl_Ventas[[#This Row],[Cantidad]]&gt;=10,"Venta Alta","Venta Normal")</f>
        <v>Venta Normal</v>
      </c>
    </row>
    <row r="35" spans="1:8" ht="15.75" customHeight="1" x14ac:dyDescent="0.3">
      <c r="A35" s="1">
        <v>46023</v>
      </c>
      <c r="B35" s="2" t="s">
        <v>69</v>
      </c>
      <c r="C35" s="2" t="s">
        <v>5</v>
      </c>
      <c r="D35" s="2" t="s">
        <v>51</v>
      </c>
      <c r="E35" s="2">
        <v>10</v>
      </c>
      <c r="F35" s="8">
        <v>459664</v>
      </c>
      <c r="G35" s="11">
        <v>0</v>
      </c>
      <c r="H35" s="17" t="str">
        <f>IF(tbl_Ventas[[#This Row],[Cantidad]]&gt;=10,"Venta Alta","Venta Normal")</f>
        <v>Venta Alta</v>
      </c>
    </row>
    <row r="36" spans="1:8" ht="15.75" customHeight="1" x14ac:dyDescent="0.3">
      <c r="A36" s="1">
        <v>46023</v>
      </c>
      <c r="B36" s="2" t="s">
        <v>70</v>
      </c>
      <c r="C36" s="2" t="s">
        <v>71</v>
      </c>
      <c r="D36" s="2" t="s">
        <v>2</v>
      </c>
      <c r="E36" s="2">
        <v>11</v>
      </c>
      <c r="F36" s="8">
        <v>284748</v>
      </c>
      <c r="G36" s="10">
        <v>0.02</v>
      </c>
      <c r="H36" s="18" t="str">
        <f>IF(tbl_Ventas[[#This Row],[Cantidad]]&gt;=10,"Venta Alta","Venta Normal")</f>
        <v>Venta Alta</v>
      </c>
    </row>
    <row r="37" spans="1:8" ht="15.75" customHeight="1" x14ac:dyDescent="0.3">
      <c r="A37" s="1">
        <v>46023</v>
      </c>
      <c r="B37" s="2" t="s">
        <v>73</v>
      </c>
      <c r="C37" s="2" t="s">
        <v>22</v>
      </c>
      <c r="D37" s="2" t="s">
        <v>17</v>
      </c>
      <c r="E37" s="2">
        <v>8</v>
      </c>
      <c r="F37" s="8">
        <v>466517</v>
      </c>
      <c r="G37" s="10">
        <v>7.0000000000000007E-2</v>
      </c>
      <c r="H37" s="18" t="str">
        <f>IF(tbl_Ventas[[#This Row],[Cantidad]]&gt;=10,"Venta Alta","Venta Normal")</f>
        <v>Venta Normal</v>
      </c>
    </row>
    <row r="38" spans="1:8" ht="15.75" customHeight="1" x14ac:dyDescent="0.3">
      <c r="A38" s="1">
        <v>46023</v>
      </c>
      <c r="B38" s="2" t="s">
        <v>75</v>
      </c>
      <c r="C38" s="2" t="s">
        <v>71</v>
      </c>
      <c r="D38" s="2" t="s">
        <v>25</v>
      </c>
      <c r="E38" s="2">
        <v>6</v>
      </c>
      <c r="F38" s="8">
        <v>50271</v>
      </c>
      <c r="G38" s="10">
        <v>0.14000000000000001</v>
      </c>
      <c r="H38" s="18" t="str">
        <f>IF(tbl_Ventas[[#This Row],[Cantidad]]&gt;=10,"Venta Alta","Venta Normal")</f>
        <v>Venta Normal</v>
      </c>
    </row>
    <row r="39" spans="1:8" ht="15.75" customHeight="1" x14ac:dyDescent="0.3">
      <c r="A39" s="1">
        <v>46023</v>
      </c>
      <c r="B39" s="2" t="s">
        <v>76</v>
      </c>
      <c r="C39" s="2" t="s">
        <v>7</v>
      </c>
      <c r="D39" s="2" t="s">
        <v>17</v>
      </c>
      <c r="E39" s="2">
        <v>10</v>
      </c>
      <c r="F39" s="8">
        <v>110804</v>
      </c>
      <c r="G39" s="10">
        <v>7.0000000000000007E-2</v>
      </c>
      <c r="H39" s="18" t="str">
        <f>IF(tbl_Ventas[[#This Row],[Cantidad]]&gt;=10,"Venta Alta","Venta Normal")</f>
        <v>Venta Alta</v>
      </c>
    </row>
    <row r="40" spans="1:8" ht="15.75" customHeight="1" x14ac:dyDescent="0.3">
      <c r="A40" s="1">
        <v>46023</v>
      </c>
      <c r="B40" s="2" t="s">
        <v>77</v>
      </c>
      <c r="C40" s="2" t="s">
        <v>16</v>
      </c>
      <c r="D40" s="2" t="s">
        <v>25</v>
      </c>
      <c r="E40" s="2">
        <v>6</v>
      </c>
      <c r="F40" s="8">
        <v>781201</v>
      </c>
      <c r="G40" s="10">
        <v>0.13</v>
      </c>
      <c r="H40" s="18" t="str">
        <f>IF(tbl_Ventas[[#This Row],[Cantidad]]&gt;=10,"Venta Alta","Venta Normal")</f>
        <v>Venta Normal</v>
      </c>
    </row>
    <row r="41" spans="1:8" ht="15.75" customHeight="1" x14ac:dyDescent="0.3">
      <c r="A41" s="1">
        <v>46023</v>
      </c>
      <c r="B41" s="2" t="s">
        <v>79</v>
      </c>
      <c r="C41" s="2" t="s">
        <v>71</v>
      </c>
      <c r="D41" s="2" t="s">
        <v>51</v>
      </c>
      <c r="E41" s="2">
        <v>11</v>
      </c>
      <c r="F41" s="8">
        <v>246912</v>
      </c>
      <c r="G41" s="10">
        <v>0.14000000000000001</v>
      </c>
      <c r="H41" s="18" t="str">
        <f>IF(tbl_Ventas[[#This Row],[Cantidad]]&gt;=10,"Venta Alta","Venta Normal")</f>
        <v>Venta Alta</v>
      </c>
    </row>
    <row r="42" spans="1:8" ht="15.75" customHeight="1" x14ac:dyDescent="0.3">
      <c r="A42" s="1">
        <v>46023</v>
      </c>
      <c r="B42" s="2" t="s">
        <v>80</v>
      </c>
      <c r="C42" s="2" t="s">
        <v>22</v>
      </c>
      <c r="D42" s="2" t="s">
        <v>25</v>
      </c>
      <c r="E42" s="2">
        <v>5</v>
      </c>
      <c r="F42" s="8">
        <v>144677</v>
      </c>
      <c r="G42" s="10">
        <v>0.06</v>
      </c>
      <c r="H42" s="18" t="str">
        <f>IF(tbl_Ventas[[#This Row],[Cantidad]]&gt;=10,"Venta Alta","Venta Normal")</f>
        <v>Venta Normal</v>
      </c>
    </row>
    <row r="43" spans="1:8" ht="15.75" customHeight="1" x14ac:dyDescent="0.3">
      <c r="A43" s="1">
        <v>46023</v>
      </c>
      <c r="B43" s="2" t="s">
        <v>82</v>
      </c>
      <c r="C43" s="2" t="s">
        <v>7</v>
      </c>
      <c r="D43" s="2" t="s">
        <v>25</v>
      </c>
      <c r="E43" s="2">
        <v>5</v>
      </c>
      <c r="F43" s="8">
        <v>77958</v>
      </c>
      <c r="G43" s="10">
        <v>0.12</v>
      </c>
      <c r="H43" s="18" t="str">
        <f>IF(tbl_Ventas[[#This Row],[Cantidad]]&gt;=10,"Venta Alta","Venta Normal")</f>
        <v>Venta Normal</v>
      </c>
    </row>
    <row r="44" spans="1:8" ht="15.75" customHeight="1" x14ac:dyDescent="0.3">
      <c r="A44" s="1">
        <v>46023</v>
      </c>
      <c r="B44" s="2" t="s">
        <v>83</v>
      </c>
      <c r="C44" s="2" t="s">
        <v>12</v>
      </c>
      <c r="D44" s="2" t="s">
        <v>17</v>
      </c>
      <c r="E44" s="2">
        <v>9</v>
      </c>
      <c r="F44" s="8">
        <v>359917</v>
      </c>
      <c r="G44" s="11">
        <v>0</v>
      </c>
      <c r="H44" s="17" t="str">
        <f>IF(tbl_Ventas[[#This Row],[Cantidad]]&gt;=10,"Venta Alta","Venta Normal")</f>
        <v>Venta Normal</v>
      </c>
    </row>
    <row r="45" spans="1:8" ht="15.75" customHeight="1" x14ac:dyDescent="0.3">
      <c r="A45" s="1">
        <v>46023</v>
      </c>
      <c r="B45" s="2" t="s">
        <v>84</v>
      </c>
      <c r="C45" s="2" t="s">
        <v>33</v>
      </c>
      <c r="D45" s="2" t="s">
        <v>51</v>
      </c>
      <c r="E45" s="2">
        <v>3</v>
      </c>
      <c r="F45" s="8">
        <v>602503</v>
      </c>
      <c r="G45" s="10">
        <v>0.12</v>
      </c>
      <c r="H45" s="18" t="str">
        <f>IF(tbl_Ventas[[#This Row],[Cantidad]]&gt;=10,"Venta Alta","Venta Normal")</f>
        <v>Venta Normal</v>
      </c>
    </row>
    <row r="46" spans="1:8" ht="15.75" customHeight="1" x14ac:dyDescent="0.3">
      <c r="A46" s="1">
        <v>46023</v>
      </c>
      <c r="B46" s="2" t="s">
        <v>85</v>
      </c>
      <c r="C46" s="2" t="s">
        <v>12</v>
      </c>
      <c r="D46" s="2" t="s">
        <v>25</v>
      </c>
      <c r="E46" s="2">
        <v>5</v>
      </c>
      <c r="F46" s="8">
        <v>618374</v>
      </c>
      <c r="G46" s="11">
        <v>0</v>
      </c>
      <c r="H46" s="17" t="str">
        <f>IF(tbl_Ventas[[#This Row],[Cantidad]]&gt;=10,"Venta Alta","Venta Normal")</f>
        <v>Venta Normal</v>
      </c>
    </row>
    <row r="47" spans="1:8" ht="15.75" customHeight="1" x14ac:dyDescent="0.3">
      <c r="A47" s="1">
        <v>46023</v>
      </c>
      <c r="B47" s="2" t="s">
        <v>86</v>
      </c>
      <c r="C47" s="2" t="s">
        <v>22</v>
      </c>
      <c r="D47" s="2" t="s">
        <v>25</v>
      </c>
      <c r="E47" s="2">
        <v>2</v>
      </c>
      <c r="F47" s="8">
        <v>187965</v>
      </c>
      <c r="G47" s="10">
        <v>0.04</v>
      </c>
      <c r="H47" s="18" t="str">
        <f>IF(tbl_Ventas[[#This Row],[Cantidad]]&gt;=10,"Venta Alta","Venta Normal")</f>
        <v>Venta Normal</v>
      </c>
    </row>
    <row r="48" spans="1:8" ht="15.75" customHeight="1" x14ac:dyDescent="0.3">
      <c r="A48" s="1">
        <v>46023</v>
      </c>
      <c r="B48" s="2" t="s">
        <v>87</v>
      </c>
      <c r="C48" s="2" t="s">
        <v>71</v>
      </c>
      <c r="D48" s="2" t="s">
        <v>13</v>
      </c>
      <c r="E48" s="2">
        <v>5</v>
      </c>
      <c r="F48" s="8">
        <v>805704</v>
      </c>
      <c r="G48" s="11">
        <v>0</v>
      </c>
      <c r="H48" s="17" t="str">
        <f>IF(tbl_Ventas[[#This Row],[Cantidad]]&gt;=10,"Venta Alta","Venta Normal")</f>
        <v>Venta Normal</v>
      </c>
    </row>
    <row r="49" spans="1:8" ht="15.75" customHeight="1" x14ac:dyDescent="0.3">
      <c r="A49" s="1">
        <v>46023</v>
      </c>
      <c r="B49" s="2" t="s">
        <v>88</v>
      </c>
      <c r="C49" s="2" t="s">
        <v>12</v>
      </c>
      <c r="D49" s="2" t="s">
        <v>51</v>
      </c>
      <c r="E49" s="2">
        <v>7</v>
      </c>
      <c r="F49" s="8">
        <v>823343</v>
      </c>
      <c r="G49" s="10">
        <v>0.08</v>
      </c>
      <c r="H49" s="18" t="str">
        <f>IF(tbl_Ventas[[#This Row],[Cantidad]]&gt;=10,"Venta Alta","Venta Normal")</f>
        <v>Venta Normal</v>
      </c>
    </row>
    <row r="50" spans="1:8" ht="15.75" customHeight="1" x14ac:dyDescent="0.3">
      <c r="A50" s="1">
        <v>46024</v>
      </c>
      <c r="B50" s="2" t="s">
        <v>89</v>
      </c>
      <c r="C50" s="2" t="s">
        <v>16</v>
      </c>
      <c r="D50" s="2" t="s">
        <v>13</v>
      </c>
      <c r="E50" s="2">
        <v>11</v>
      </c>
      <c r="F50" s="8">
        <v>540495</v>
      </c>
      <c r="G50" s="10">
        <v>0.11</v>
      </c>
      <c r="H50" s="18" t="str">
        <f>IF(tbl_Ventas[[#This Row],[Cantidad]]&gt;=10,"Venta Alta","Venta Normal")</f>
        <v>Venta Alta</v>
      </c>
    </row>
    <row r="51" spans="1:8" ht="15.75" customHeight="1" x14ac:dyDescent="0.3">
      <c r="A51" s="1">
        <v>46024</v>
      </c>
      <c r="B51" s="2" t="s">
        <v>90</v>
      </c>
      <c r="C51" s="2" t="s">
        <v>33</v>
      </c>
      <c r="D51" s="2" t="s">
        <v>13</v>
      </c>
      <c r="E51" s="2">
        <v>7</v>
      </c>
      <c r="F51" s="8">
        <v>512838</v>
      </c>
      <c r="G51" s="10">
        <v>0.03</v>
      </c>
      <c r="H51" s="18" t="str">
        <f>IF(tbl_Ventas[[#This Row],[Cantidad]]&gt;=10,"Venta Alta","Venta Normal")</f>
        <v>Venta Normal</v>
      </c>
    </row>
    <row r="52" spans="1:8" ht="15.75" customHeight="1" x14ac:dyDescent="0.3">
      <c r="A52" s="1">
        <v>46024</v>
      </c>
      <c r="B52" s="2" t="s">
        <v>91</v>
      </c>
      <c r="C52" s="2" t="s">
        <v>7</v>
      </c>
      <c r="D52" s="2" t="s">
        <v>17</v>
      </c>
      <c r="E52" s="2">
        <v>7</v>
      </c>
      <c r="F52" s="8">
        <v>640294</v>
      </c>
      <c r="G52" s="11">
        <v>0</v>
      </c>
      <c r="H52" s="17" t="str">
        <f>IF(tbl_Ventas[[#This Row],[Cantidad]]&gt;=10,"Venta Alta","Venta Normal")</f>
        <v>Venta Normal</v>
      </c>
    </row>
    <row r="53" spans="1:8" ht="15.75" customHeight="1" x14ac:dyDescent="0.3">
      <c r="A53" s="1">
        <v>46024</v>
      </c>
      <c r="B53" s="2" t="s">
        <v>92</v>
      </c>
      <c r="C53" s="2" t="s">
        <v>7</v>
      </c>
      <c r="D53" s="2" t="s">
        <v>25</v>
      </c>
      <c r="E53" s="2">
        <v>11</v>
      </c>
      <c r="F53" s="8">
        <v>193111</v>
      </c>
      <c r="G53" s="10">
        <v>7.0000000000000007E-2</v>
      </c>
      <c r="H53" s="18" t="str">
        <f>IF(tbl_Ventas[[#This Row],[Cantidad]]&gt;=10,"Venta Alta","Venta Normal")</f>
        <v>Venta Alta</v>
      </c>
    </row>
    <row r="54" spans="1:8" ht="15.75" customHeight="1" x14ac:dyDescent="0.3">
      <c r="A54" s="1">
        <v>46024</v>
      </c>
      <c r="B54" s="2" t="s">
        <v>93</v>
      </c>
      <c r="C54" s="2" t="s">
        <v>7</v>
      </c>
      <c r="D54" s="2" t="s">
        <v>13</v>
      </c>
      <c r="E54" s="2">
        <v>10</v>
      </c>
      <c r="F54" s="8">
        <v>716818</v>
      </c>
      <c r="G54" s="10">
        <v>0.11</v>
      </c>
      <c r="H54" s="18" t="str">
        <f>IF(tbl_Ventas[[#This Row],[Cantidad]]&gt;=10,"Venta Alta","Venta Normal")</f>
        <v>Venta Alta</v>
      </c>
    </row>
    <row r="55" spans="1:8" ht="15.75" customHeight="1" x14ac:dyDescent="0.3">
      <c r="A55" s="1">
        <v>46024</v>
      </c>
      <c r="B55" s="2" t="s">
        <v>94</v>
      </c>
      <c r="C55" s="2" t="s">
        <v>1</v>
      </c>
      <c r="D55" s="2" t="s">
        <v>51</v>
      </c>
      <c r="E55" s="2">
        <v>1</v>
      </c>
      <c r="F55" s="8">
        <v>622150</v>
      </c>
      <c r="G55" s="10">
        <v>0.09</v>
      </c>
      <c r="H55" s="18" t="str">
        <f>IF(tbl_Ventas[[#This Row],[Cantidad]]&gt;=10,"Venta Alta","Venta Normal")</f>
        <v>Venta Normal</v>
      </c>
    </row>
    <row r="56" spans="1:8" ht="15.75" customHeight="1" x14ac:dyDescent="0.3">
      <c r="A56" s="1">
        <v>46024</v>
      </c>
      <c r="B56" s="2" t="s">
        <v>95</v>
      </c>
      <c r="C56" s="2" t="s">
        <v>71</v>
      </c>
      <c r="D56" s="2" t="s">
        <v>51</v>
      </c>
      <c r="E56" s="2">
        <v>11</v>
      </c>
      <c r="F56" s="8">
        <v>545400</v>
      </c>
      <c r="G56" s="10">
        <v>0.09</v>
      </c>
      <c r="H56" s="18" t="str">
        <f>IF(tbl_Ventas[[#This Row],[Cantidad]]&gt;=10,"Venta Alta","Venta Normal")</f>
        <v>Venta Alta</v>
      </c>
    </row>
    <row r="57" spans="1:8" ht="15.75" customHeight="1" x14ac:dyDescent="0.3">
      <c r="A57" s="1">
        <v>46024</v>
      </c>
      <c r="B57" s="2" t="s">
        <v>96</v>
      </c>
      <c r="C57" s="2" t="s">
        <v>1</v>
      </c>
      <c r="D57" s="2" t="s">
        <v>13</v>
      </c>
      <c r="E57" s="2">
        <v>5</v>
      </c>
      <c r="F57" s="8">
        <v>815678</v>
      </c>
      <c r="G57" s="11">
        <v>0</v>
      </c>
      <c r="H57" s="17" t="str">
        <f>IF(tbl_Ventas[[#This Row],[Cantidad]]&gt;=10,"Venta Alta","Venta Normal")</f>
        <v>Venta Normal</v>
      </c>
    </row>
    <row r="58" spans="1:8" ht="15.75" customHeight="1" x14ac:dyDescent="0.3">
      <c r="A58" s="1">
        <v>46024</v>
      </c>
      <c r="B58" s="2" t="s">
        <v>97</v>
      </c>
      <c r="C58" s="2" t="s">
        <v>12</v>
      </c>
      <c r="D58" s="2" t="s">
        <v>17</v>
      </c>
      <c r="E58" s="2">
        <v>12</v>
      </c>
      <c r="F58" s="8">
        <v>204269</v>
      </c>
      <c r="G58" s="10">
        <v>0.03</v>
      </c>
      <c r="H58" s="18" t="str">
        <f>IF(tbl_Ventas[[#This Row],[Cantidad]]&gt;=10,"Venta Alta","Venta Normal")</f>
        <v>Venta Alta</v>
      </c>
    </row>
    <row r="59" spans="1:8" ht="15.75" customHeight="1" x14ac:dyDescent="0.3">
      <c r="A59" s="1">
        <v>46024</v>
      </c>
      <c r="B59" s="2" t="s">
        <v>98</v>
      </c>
      <c r="C59" s="2" t="s">
        <v>22</v>
      </c>
      <c r="D59" s="2" t="s">
        <v>17</v>
      </c>
      <c r="E59" s="2">
        <v>1</v>
      </c>
      <c r="F59" s="8">
        <v>283413</v>
      </c>
      <c r="G59" s="10">
        <v>0.11</v>
      </c>
      <c r="H59" s="18" t="str">
        <f>IF(tbl_Ventas[[#This Row],[Cantidad]]&gt;=10,"Venta Alta","Venta Normal")</f>
        <v>Venta Normal</v>
      </c>
    </row>
    <row r="60" spans="1:8" ht="15.75" customHeight="1" x14ac:dyDescent="0.3">
      <c r="A60" s="1">
        <v>46024</v>
      </c>
      <c r="B60" s="2" t="s">
        <v>99</v>
      </c>
      <c r="C60" s="2" t="s">
        <v>22</v>
      </c>
      <c r="D60" s="2" t="s">
        <v>17</v>
      </c>
      <c r="E60" s="2">
        <v>10</v>
      </c>
      <c r="F60" s="8">
        <v>568783</v>
      </c>
      <c r="G60" s="10">
        <v>0.03</v>
      </c>
      <c r="H60" s="18" t="str">
        <f>IF(tbl_Ventas[[#This Row],[Cantidad]]&gt;=10,"Venta Alta","Venta Normal")</f>
        <v>Venta Alta</v>
      </c>
    </row>
    <row r="61" spans="1:8" ht="15.75" customHeight="1" x14ac:dyDescent="0.3">
      <c r="A61" s="1">
        <v>46024</v>
      </c>
      <c r="B61" s="2" t="s">
        <v>100</v>
      </c>
      <c r="C61" s="2" t="s">
        <v>16</v>
      </c>
      <c r="D61" s="2" t="s">
        <v>51</v>
      </c>
      <c r="E61" s="2">
        <v>3</v>
      </c>
      <c r="F61" s="8">
        <v>484280</v>
      </c>
      <c r="G61" s="10">
        <v>0.15</v>
      </c>
      <c r="H61" s="18" t="str">
        <f>IF(tbl_Ventas[[#This Row],[Cantidad]]&gt;=10,"Venta Alta","Venta Normal")</f>
        <v>Venta Normal</v>
      </c>
    </row>
    <row r="62" spans="1:8" ht="15.75" customHeight="1" x14ac:dyDescent="0.3">
      <c r="A62" s="1">
        <v>46024</v>
      </c>
      <c r="B62" s="2" t="s">
        <v>101</v>
      </c>
      <c r="C62" s="2" t="s">
        <v>5</v>
      </c>
      <c r="D62" s="2" t="s">
        <v>51</v>
      </c>
      <c r="E62" s="2">
        <v>4</v>
      </c>
      <c r="F62" s="8">
        <v>720292</v>
      </c>
      <c r="G62" s="11">
        <v>0</v>
      </c>
      <c r="H62" s="17" t="str">
        <f>IF(tbl_Ventas[[#This Row],[Cantidad]]&gt;=10,"Venta Alta","Venta Normal")</f>
        <v>Venta Normal</v>
      </c>
    </row>
    <row r="63" spans="1:8" ht="15.75" customHeight="1" x14ac:dyDescent="0.3">
      <c r="A63" s="1">
        <v>46024</v>
      </c>
      <c r="B63" s="2" t="s">
        <v>102</v>
      </c>
      <c r="C63" s="2" t="s">
        <v>71</v>
      </c>
      <c r="D63" s="2" t="s">
        <v>51</v>
      </c>
      <c r="E63" s="2">
        <v>4</v>
      </c>
      <c r="F63" s="8">
        <v>186870</v>
      </c>
      <c r="G63" s="10">
        <v>0.05</v>
      </c>
      <c r="H63" s="18" t="str">
        <f>IF(tbl_Ventas[[#This Row],[Cantidad]]&gt;=10,"Venta Alta","Venta Normal")</f>
        <v>Venta Normal</v>
      </c>
    </row>
    <row r="64" spans="1:8" ht="15.75" customHeight="1" x14ac:dyDescent="0.3">
      <c r="A64" s="1">
        <v>46024</v>
      </c>
      <c r="B64" s="2" t="s">
        <v>103</v>
      </c>
      <c r="C64" s="2" t="s">
        <v>5</v>
      </c>
      <c r="D64" s="2" t="s">
        <v>13</v>
      </c>
      <c r="E64" s="2">
        <v>7</v>
      </c>
      <c r="F64" s="8">
        <v>551195</v>
      </c>
      <c r="G64" s="10">
        <v>0.12</v>
      </c>
      <c r="H64" s="18" t="str">
        <f>IF(tbl_Ventas[[#This Row],[Cantidad]]&gt;=10,"Venta Alta","Venta Normal")</f>
        <v>Venta Normal</v>
      </c>
    </row>
    <row r="65" spans="1:8" ht="15.75" customHeight="1" x14ac:dyDescent="0.3">
      <c r="A65" s="1">
        <v>46024</v>
      </c>
      <c r="B65" s="2" t="s">
        <v>104</v>
      </c>
      <c r="C65" s="2" t="s">
        <v>1</v>
      </c>
      <c r="D65" s="2" t="s">
        <v>51</v>
      </c>
      <c r="E65" s="2">
        <v>8</v>
      </c>
      <c r="F65" s="8">
        <v>626525</v>
      </c>
      <c r="G65" s="10">
        <v>0.1</v>
      </c>
      <c r="H65" s="18" t="str">
        <f>IF(tbl_Ventas[[#This Row],[Cantidad]]&gt;=10,"Venta Alta","Venta Normal")</f>
        <v>Venta Normal</v>
      </c>
    </row>
    <row r="66" spans="1:8" ht="15.75" customHeight="1" x14ac:dyDescent="0.3">
      <c r="A66" s="1">
        <v>46024</v>
      </c>
      <c r="B66" s="2" t="s">
        <v>105</v>
      </c>
      <c r="C66" s="2" t="s">
        <v>22</v>
      </c>
      <c r="D66" s="2" t="s">
        <v>2</v>
      </c>
      <c r="E66" s="2">
        <v>5</v>
      </c>
      <c r="F66" s="8">
        <v>80174</v>
      </c>
      <c r="G66" s="10">
        <v>0.06</v>
      </c>
      <c r="H66" s="18" t="str">
        <f>IF(tbl_Ventas[[#This Row],[Cantidad]]&gt;=10,"Venta Alta","Venta Normal")</f>
        <v>Venta Normal</v>
      </c>
    </row>
    <row r="67" spans="1:8" ht="15.75" customHeight="1" x14ac:dyDescent="0.3">
      <c r="A67" s="1">
        <v>46024</v>
      </c>
      <c r="B67" s="2" t="s">
        <v>106</v>
      </c>
      <c r="C67" s="2" t="s">
        <v>12</v>
      </c>
      <c r="D67" s="2" t="s">
        <v>51</v>
      </c>
      <c r="E67" s="2">
        <v>3</v>
      </c>
      <c r="F67" s="8">
        <v>677596</v>
      </c>
      <c r="G67" s="10">
        <v>0.04</v>
      </c>
      <c r="H67" s="18" t="str">
        <f>IF(tbl_Ventas[[#This Row],[Cantidad]]&gt;=10,"Venta Alta","Venta Normal")</f>
        <v>Venta Normal</v>
      </c>
    </row>
    <row r="68" spans="1:8" ht="15.75" customHeight="1" x14ac:dyDescent="0.3">
      <c r="A68" s="1">
        <v>46024</v>
      </c>
      <c r="B68" s="2" t="s">
        <v>107</v>
      </c>
      <c r="C68" s="2" t="s">
        <v>1</v>
      </c>
      <c r="D68" s="2" t="s">
        <v>51</v>
      </c>
      <c r="E68" s="2">
        <v>9</v>
      </c>
      <c r="F68" s="8">
        <v>715726</v>
      </c>
      <c r="G68" s="11">
        <v>0</v>
      </c>
      <c r="H68" s="17" t="str">
        <f>IF(tbl_Ventas[[#This Row],[Cantidad]]&gt;=10,"Venta Alta","Venta Normal")</f>
        <v>Venta Normal</v>
      </c>
    </row>
    <row r="69" spans="1:8" ht="15.75" customHeight="1" x14ac:dyDescent="0.3">
      <c r="A69" s="1">
        <v>46024</v>
      </c>
      <c r="B69" s="2" t="s">
        <v>108</v>
      </c>
      <c r="C69" s="2" t="s">
        <v>33</v>
      </c>
      <c r="D69" s="2" t="s">
        <v>51</v>
      </c>
      <c r="E69" s="2">
        <v>1</v>
      </c>
      <c r="F69" s="8">
        <v>488463</v>
      </c>
      <c r="G69" s="10">
        <v>0.1</v>
      </c>
      <c r="H69" s="18" t="str">
        <f>IF(tbl_Ventas[[#This Row],[Cantidad]]&gt;=10,"Venta Alta","Venta Normal")</f>
        <v>Venta Normal</v>
      </c>
    </row>
    <row r="70" spans="1:8" ht="15.75" customHeight="1" x14ac:dyDescent="0.3">
      <c r="A70" s="1">
        <v>46024</v>
      </c>
      <c r="B70" s="2" t="s">
        <v>109</v>
      </c>
      <c r="C70" s="2" t="s">
        <v>1</v>
      </c>
      <c r="D70" s="2" t="s">
        <v>17</v>
      </c>
      <c r="E70" s="2">
        <v>4</v>
      </c>
      <c r="F70" s="8">
        <v>844509</v>
      </c>
      <c r="G70" s="10">
        <v>0.06</v>
      </c>
      <c r="H70" s="18" t="str">
        <f>IF(tbl_Ventas[[#This Row],[Cantidad]]&gt;=10,"Venta Alta","Venta Normal")</f>
        <v>Venta Normal</v>
      </c>
    </row>
    <row r="71" spans="1:8" ht="15.75" customHeight="1" x14ac:dyDescent="0.3">
      <c r="A71" s="1">
        <v>46024</v>
      </c>
      <c r="B71" s="2" t="s">
        <v>110</v>
      </c>
      <c r="C71" s="2" t="s">
        <v>12</v>
      </c>
      <c r="D71" s="2" t="s">
        <v>13</v>
      </c>
      <c r="E71" s="2">
        <v>9</v>
      </c>
      <c r="F71" s="8">
        <v>442145</v>
      </c>
      <c r="G71" s="11">
        <v>0</v>
      </c>
      <c r="H71" s="17" t="str">
        <f>IF(tbl_Ventas[[#This Row],[Cantidad]]&gt;=10,"Venta Alta","Venta Normal")</f>
        <v>Venta Normal</v>
      </c>
    </row>
    <row r="72" spans="1:8" ht="15.75" customHeight="1" x14ac:dyDescent="0.3">
      <c r="A72" s="1">
        <v>46024</v>
      </c>
      <c r="B72" s="2" t="s">
        <v>111</v>
      </c>
      <c r="C72" s="2" t="s">
        <v>7</v>
      </c>
      <c r="D72" s="2" t="s">
        <v>51</v>
      </c>
      <c r="E72" s="2">
        <v>7</v>
      </c>
      <c r="F72" s="8">
        <v>544787</v>
      </c>
      <c r="G72" s="10">
        <v>0.02</v>
      </c>
      <c r="H72" s="18" t="str">
        <f>IF(tbl_Ventas[[#This Row],[Cantidad]]&gt;=10,"Venta Alta","Venta Normal")</f>
        <v>Venta Normal</v>
      </c>
    </row>
    <row r="73" spans="1:8" ht="15.75" customHeight="1" x14ac:dyDescent="0.3">
      <c r="A73" s="1">
        <v>46024</v>
      </c>
      <c r="B73" s="2" t="s">
        <v>112</v>
      </c>
      <c r="C73" s="2" t="s">
        <v>71</v>
      </c>
      <c r="D73" s="2" t="s">
        <v>51</v>
      </c>
      <c r="E73" s="2">
        <v>6</v>
      </c>
      <c r="F73" s="8">
        <v>478617</v>
      </c>
      <c r="G73" s="10">
        <v>0.14000000000000001</v>
      </c>
      <c r="H73" s="18" t="str">
        <f>IF(tbl_Ventas[[#This Row],[Cantidad]]&gt;=10,"Venta Alta","Venta Normal")</f>
        <v>Venta Normal</v>
      </c>
    </row>
    <row r="74" spans="1:8" ht="15.75" customHeight="1" x14ac:dyDescent="0.3">
      <c r="A74" s="1">
        <v>46024</v>
      </c>
      <c r="B74" s="2" t="s">
        <v>113</v>
      </c>
      <c r="C74" s="2" t="s">
        <v>1</v>
      </c>
      <c r="D74" s="2" t="s">
        <v>51</v>
      </c>
      <c r="E74" s="2">
        <v>7</v>
      </c>
      <c r="F74" s="8">
        <v>254576</v>
      </c>
      <c r="G74" s="10">
        <v>0.14000000000000001</v>
      </c>
      <c r="H74" s="18" t="str">
        <f>IF(tbl_Ventas[[#This Row],[Cantidad]]&gt;=10,"Venta Alta","Venta Normal")</f>
        <v>Venta Normal</v>
      </c>
    </row>
    <row r="75" spans="1:8" ht="15.75" customHeight="1" x14ac:dyDescent="0.3">
      <c r="A75" s="1">
        <v>46024</v>
      </c>
      <c r="B75" s="2" t="s">
        <v>114</v>
      </c>
      <c r="C75" s="2" t="s">
        <v>7</v>
      </c>
      <c r="D75" s="2" t="s">
        <v>13</v>
      </c>
      <c r="E75" s="2">
        <v>5</v>
      </c>
      <c r="F75" s="8">
        <v>768769</v>
      </c>
      <c r="G75" s="11">
        <v>0</v>
      </c>
      <c r="H75" s="17" t="str">
        <f>IF(tbl_Ventas[[#This Row],[Cantidad]]&gt;=10,"Venta Alta","Venta Normal")</f>
        <v>Venta Normal</v>
      </c>
    </row>
    <row r="76" spans="1:8" ht="15.75" customHeight="1" x14ac:dyDescent="0.3">
      <c r="A76" s="1">
        <v>46024</v>
      </c>
      <c r="B76" s="2" t="s">
        <v>115</v>
      </c>
      <c r="C76" s="2" t="s">
        <v>71</v>
      </c>
      <c r="D76" s="2" t="s">
        <v>51</v>
      </c>
      <c r="E76" s="2">
        <v>11</v>
      </c>
      <c r="F76" s="8">
        <v>829121</v>
      </c>
      <c r="G76" s="10">
        <v>0.11</v>
      </c>
      <c r="H76" s="18" t="str">
        <f>IF(tbl_Ventas[[#This Row],[Cantidad]]&gt;=10,"Venta Alta","Venta Normal")</f>
        <v>Venta Alta</v>
      </c>
    </row>
    <row r="77" spans="1:8" ht="15.75" customHeight="1" x14ac:dyDescent="0.3">
      <c r="A77" s="1">
        <v>46024</v>
      </c>
      <c r="B77" s="2" t="s">
        <v>116</v>
      </c>
      <c r="C77" s="2" t="s">
        <v>33</v>
      </c>
      <c r="D77" s="2" t="s">
        <v>13</v>
      </c>
      <c r="E77" s="2">
        <v>12</v>
      </c>
      <c r="F77" s="8">
        <v>201559</v>
      </c>
      <c r="G77" s="10">
        <v>0.04</v>
      </c>
      <c r="H77" s="18" t="str">
        <f>IF(tbl_Ventas[[#This Row],[Cantidad]]&gt;=10,"Venta Alta","Venta Normal")</f>
        <v>Venta Alta</v>
      </c>
    </row>
    <row r="78" spans="1:8" ht="15.75" customHeight="1" x14ac:dyDescent="0.3">
      <c r="A78" s="1">
        <v>46024</v>
      </c>
      <c r="B78" s="2" t="s">
        <v>117</v>
      </c>
      <c r="C78" s="2" t="s">
        <v>71</v>
      </c>
      <c r="D78" s="2" t="s">
        <v>17</v>
      </c>
      <c r="E78" s="2">
        <v>1</v>
      </c>
      <c r="F78" s="8">
        <v>652021</v>
      </c>
      <c r="G78" s="11">
        <v>0</v>
      </c>
      <c r="H78" s="17" t="str">
        <f>IF(tbl_Ventas[[#This Row],[Cantidad]]&gt;=10,"Venta Alta","Venta Normal")</f>
        <v>Venta Normal</v>
      </c>
    </row>
    <row r="79" spans="1:8" ht="15.75" customHeight="1" x14ac:dyDescent="0.3">
      <c r="A79" s="1">
        <v>46024</v>
      </c>
      <c r="B79" s="2" t="s">
        <v>118</v>
      </c>
      <c r="C79" s="2" t="s">
        <v>1</v>
      </c>
      <c r="D79" s="2" t="s">
        <v>17</v>
      </c>
      <c r="E79" s="2">
        <v>8</v>
      </c>
      <c r="F79" s="8">
        <v>358033</v>
      </c>
      <c r="G79" s="10">
        <v>0.03</v>
      </c>
      <c r="H79" s="18" t="str">
        <f>IF(tbl_Ventas[[#This Row],[Cantidad]]&gt;=10,"Venta Alta","Venta Normal")</f>
        <v>Venta Normal</v>
      </c>
    </row>
    <row r="80" spans="1:8" ht="15.75" customHeight="1" x14ac:dyDescent="0.3">
      <c r="A80" s="1">
        <v>46024</v>
      </c>
      <c r="B80" s="2" t="s">
        <v>119</v>
      </c>
      <c r="C80" s="2" t="s">
        <v>33</v>
      </c>
      <c r="D80" s="2" t="s">
        <v>51</v>
      </c>
      <c r="E80" s="2">
        <v>5</v>
      </c>
      <c r="F80" s="8">
        <v>218436</v>
      </c>
      <c r="G80" s="10">
        <v>0.12</v>
      </c>
      <c r="H80" s="18" t="str">
        <f>IF(tbl_Ventas[[#This Row],[Cantidad]]&gt;=10,"Venta Alta","Venta Normal")</f>
        <v>Venta Normal</v>
      </c>
    </row>
    <row r="81" spans="1:8" ht="15.75" customHeight="1" x14ac:dyDescent="0.3">
      <c r="A81" s="1">
        <v>46024</v>
      </c>
      <c r="B81" s="2" t="s">
        <v>120</v>
      </c>
      <c r="C81" s="2" t="s">
        <v>7</v>
      </c>
      <c r="D81" s="2" t="s">
        <v>25</v>
      </c>
      <c r="E81" s="2">
        <v>10</v>
      </c>
      <c r="F81" s="8">
        <v>664088</v>
      </c>
      <c r="G81" s="11">
        <v>0</v>
      </c>
      <c r="H81" s="17" t="str">
        <f>IF(tbl_Ventas[[#This Row],[Cantidad]]&gt;=10,"Venta Alta","Venta Normal")</f>
        <v>Venta Alta</v>
      </c>
    </row>
    <row r="82" spans="1:8" ht="15.75" customHeight="1" x14ac:dyDescent="0.3">
      <c r="A82" s="1">
        <v>46024</v>
      </c>
      <c r="B82" s="2" t="s">
        <v>121</v>
      </c>
      <c r="C82" s="2" t="s">
        <v>12</v>
      </c>
      <c r="D82" s="2" t="s">
        <v>17</v>
      </c>
      <c r="E82" s="2">
        <v>5</v>
      </c>
      <c r="F82" s="8">
        <v>787317</v>
      </c>
      <c r="G82" s="11">
        <v>0</v>
      </c>
      <c r="H82" s="17" t="str">
        <f>IF(tbl_Ventas[[#This Row],[Cantidad]]&gt;=10,"Venta Alta","Venta Normal")</f>
        <v>Venta Normal</v>
      </c>
    </row>
    <row r="83" spans="1:8" ht="15.75" customHeight="1" x14ac:dyDescent="0.3">
      <c r="A83" s="1">
        <v>46024</v>
      </c>
      <c r="B83" s="2" t="s">
        <v>122</v>
      </c>
      <c r="C83" s="2" t="s">
        <v>7</v>
      </c>
      <c r="D83" s="2" t="s">
        <v>25</v>
      </c>
      <c r="E83" s="2">
        <v>11</v>
      </c>
      <c r="F83" s="8">
        <v>532645</v>
      </c>
      <c r="G83" s="11">
        <v>0</v>
      </c>
      <c r="H83" s="17" t="str">
        <f>IF(tbl_Ventas[[#This Row],[Cantidad]]&gt;=10,"Venta Alta","Venta Normal")</f>
        <v>Venta Alta</v>
      </c>
    </row>
    <row r="84" spans="1:8" ht="15.75" customHeight="1" x14ac:dyDescent="0.3">
      <c r="A84" s="1">
        <v>46024</v>
      </c>
      <c r="B84" s="2" t="s">
        <v>123</v>
      </c>
      <c r="C84" s="2" t="s">
        <v>12</v>
      </c>
      <c r="D84" s="2" t="s">
        <v>13</v>
      </c>
      <c r="E84" s="2">
        <v>3</v>
      </c>
      <c r="F84" s="8">
        <v>202670</v>
      </c>
      <c r="G84" s="11">
        <v>0</v>
      </c>
      <c r="H84" s="17" t="str">
        <f>IF(tbl_Ventas[[#This Row],[Cantidad]]&gt;=10,"Venta Alta","Venta Normal")</f>
        <v>Venta Normal</v>
      </c>
    </row>
    <row r="85" spans="1:8" ht="15.75" customHeight="1" x14ac:dyDescent="0.3">
      <c r="A85" s="1">
        <v>46024</v>
      </c>
      <c r="B85" s="2" t="s">
        <v>124</v>
      </c>
      <c r="C85" s="2" t="s">
        <v>22</v>
      </c>
      <c r="D85" s="2" t="s">
        <v>17</v>
      </c>
      <c r="E85" s="2">
        <v>11</v>
      </c>
      <c r="F85" s="8">
        <v>148376</v>
      </c>
      <c r="G85" s="10">
        <v>0.12</v>
      </c>
      <c r="H85" s="18" t="str">
        <f>IF(tbl_Ventas[[#This Row],[Cantidad]]&gt;=10,"Venta Alta","Venta Normal")</f>
        <v>Venta Alta</v>
      </c>
    </row>
    <row r="86" spans="1:8" ht="15.75" customHeight="1" x14ac:dyDescent="0.3">
      <c r="A86" s="1">
        <v>46024</v>
      </c>
      <c r="B86" s="2" t="s">
        <v>125</v>
      </c>
      <c r="C86" s="2" t="s">
        <v>5</v>
      </c>
      <c r="D86" s="2" t="s">
        <v>51</v>
      </c>
      <c r="E86" s="2">
        <v>1</v>
      </c>
      <c r="F86" s="8">
        <v>261830</v>
      </c>
      <c r="G86" s="10">
        <v>0.04</v>
      </c>
      <c r="H86" s="18" t="str">
        <f>IF(tbl_Ventas[[#This Row],[Cantidad]]&gt;=10,"Venta Alta","Venta Normal")</f>
        <v>Venta Normal</v>
      </c>
    </row>
    <row r="87" spans="1:8" ht="15.75" customHeight="1" x14ac:dyDescent="0.3">
      <c r="A87" s="1">
        <v>46024</v>
      </c>
      <c r="B87" s="2" t="s">
        <v>126</v>
      </c>
      <c r="C87" s="2" t="s">
        <v>5</v>
      </c>
      <c r="D87" s="2" t="s">
        <v>51</v>
      </c>
      <c r="E87" s="2">
        <v>1</v>
      </c>
      <c r="F87" s="8">
        <v>472101</v>
      </c>
      <c r="G87" s="10">
        <v>0.13</v>
      </c>
      <c r="H87" s="18" t="str">
        <f>IF(tbl_Ventas[[#This Row],[Cantidad]]&gt;=10,"Venta Alta","Venta Normal")</f>
        <v>Venta Normal</v>
      </c>
    </row>
    <row r="88" spans="1:8" ht="15.75" customHeight="1" x14ac:dyDescent="0.3">
      <c r="A88" s="1">
        <v>46024</v>
      </c>
      <c r="B88" s="2" t="s">
        <v>127</v>
      </c>
      <c r="C88" s="2" t="s">
        <v>7</v>
      </c>
      <c r="D88" s="2" t="s">
        <v>25</v>
      </c>
      <c r="E88" s="2">
        <v>1</v>
      </c>
      <c r="F88" s="8">
        <v>651710</v>
      </c>
      <c r="G88" s="11">
        <v>0</v>
      </c>
      <c r="H88" s="17" t="str">
        <f>IF(tbl_Ventas[[#This Row],[Cantidad]]&gt;=10,"Venta Alta","Venta Normal")</f>
        <v>Venta Normal</v>
      </c>
    </row>
    <row r="89" spans="1:8" ht="15.75" customHeight="1" x14ac:dyDescent="0.3">
      <c r="A89" s="1">
        <v>46024</v>
      </c>
      <c r="B89" s="2" t="s">
        <v>128</v>
      </c>
      <c r="C89" s="2" t="s">
        <v>71</v>
      </c>
      <c r="D89" s="2" t="s">
        <v>25</v>
      </c>
      <c r="E89" s="2">
        <v>2</v>
      </c>
      <c r="F89" s="8">
        <v>75269</v>
      </c>
      <c r="G89" s="11">
        <v>0</v>
      </c>
      <c r="H89" s="17" t="str">
        <f>IF(tbl_Ventas[[#This Row],[Cantidad]]&gt;=10,"Venta Alta","Venta Normal")</f>
        <v>Venta Normal</v>
      </c>
    </row>
    <row r="90" spans="1:8" ht="15.75" customHeight="1" x14ac:dyDescent="0.3">
      <c r="A90" s="1">
        <v>46024</v>
      </c>
      <c r="B90" s="2" t="s">
        <v>129</v>
      </c>
      <c r="C90" s="2" t="s">
        <v>22</v>
      </c>
      <c r="D90" s="2" t="s">
        <v>13</v>
      </c>
      <c r="E90" s="2">
        <v>6</v>
      </c>
      <c r="F90" s="8">
        <v>420958</v>
      </c>
      <c r="G90" s="10">
        <v>0.12</v>
      </c>
      <c r="H90" s="18" t="str">
        <f>IF(tbl_Ventas[[#This Row],[Cantidad]]&gt;=10,"Venta Alta","Venta Normal")</f>
        <v>Venta Normal</v>
      </c>
    </row>
    <row r="91" spans="1:8" ht="15.75" customHeight="1" x14ac:dyDescent="0.3">
      <c r="A91" s="1">
        <v>46024</v>
      </c>
      <c r="B91" s="2" t="s">
        <v>130</v>
      </c>
      <c r="C91" s="2" t="s">
        <v>33</v>
      </c>
      <c r="D91" s="2" t="s">
        <v>17</v>
      </c>
      <c r="E91" s="2">
        <v>10</v>
      </c>
      <c r="F91" s="8">
        <v>382001</v>
      </c>
      <c r="G91" s="11">
        <v>0</v>
      </c>
      <c r="H91" s="17" t="str">
        <f>IF(tbl_Ventas[[#This Row],[Cantidad]]&gt;=10,"Venta Alta","Venta Normal")</f>
        <v>Venta Alta</v>
      </c>
    </row>
    <row r="92" spans="1:8" ht="15.75" customHeight="1" x14ac:dyDescent="0.3">
      <c r="A92" s="1">
        <v>46024</v>
      </c>
      <c r="B92" s="2" t="s">
        <v>131</v>
      </c>
      <c r="C92" s="2" t="s">
        <v>22</v>
      </c>
      <c r="D92" s="2" t="s">
        <v>51</v>
      </c>
      <c r="E92" s="2">
        <v>7</v>
      </c>
      <c r="F92" s="8">
        <v>463005</v>
      </c>
      <c r="G92" s="10">
        <v>0.03</v>
      </c>
      <c r="H92" s="18" t="str">
        <f>IF(tbl_Ventas[[#This Row],[Cantidad]]&gt;=10,"Venta Alta","Venta Normal")</f>
        <v>Venta Normal</v>
      </c>
    </row>
    <row r="93" spans="1:8" ht="15.75" customHeight="1" x14ac:dyDescent="0.3">
      <c r="A93" s="1">
        <v>46024</v>
      </c>
      <c r="B93" s="2" t="s">
        <v>132</v>
      </c>
      <c r="C93" s="2" t="s">
        <v>12</v>
      </c>
      <c r="D93" s="2" t="s">
        <v>17</v>
      </c>
      <c r="E93" s="2">
        <v>4</v>
      </c>
      <c r="F93" s="8">
        <v>717317</v>
      </c>
      <c r="G93" s="10">
        <v>0.12</v>
      </c>
      <c r="H93" s="18" t="str">
        <f>IF(tbl_Ventas[[#This Row],[Cantidad]]&gt;=10,"Venta Alta","Venta Normal")</f>
        <v>Venta Normal</v>
      </c>
    </row>
    <row r="94" spans="1:8" ht="15.75" customHeight="1" x14ac:dyDescent="0.3">
      <c r="A94" s="1">
        <v>46024</v>
      </c>
      <c r="B94" s="2" t="s">
        <v>133</v>
      </c>
      <c r="C94" s="2" t="s">
        <v>5</v>
      </c>
      <c r="D94" s="2" t="s">
        <v>13</v>
      </c>
      <c r="E94" s="2">
        <v>8</v>
      </c>
      <c r="F94" s="8">
        <v>142088</v>
      </c>
      <c r="G94" s="10">
        <v>0.02</v>
      </c>
      <c r="H94" s="18" t="str">
        <f>IF(tbl_Ventas[[#This Row],[Cantidad]]&gt;=10,"Venta Alta","Venta Normal")</f>
        <v>Venta Normal</v>
      </c>
    </row>
    <row r="95" spans="1:8" ht="15.75" customHeight="1" x14ac:dyDescent="0.3">
      <c r="A95" s="1">
        <v>46024</v>
      </c>
      <c r="B95" s="2" t="s">
        <v>134</v>
      </c>
      <c r="C95" s="2" t="s">
        <v>7</v>
      </c>
      <c r="D95" s="2" t="s">
        <v>25</v>
      </c>
      <c r="E95" s="2">
        <v>1</v>
      </c>
      <c r="F95" s="8">
        <v>222755</v>
      </c>
      <c r="G95" s="10">
        <v>0.14000000000000001</v>
      </c>
      <c r="H95" s="18" t="str">
        <f>IF(tbl_Ventas[[#This Row],[Cantidad]]&gt;=10,"Venta Alta","Venta Normal")</f>
        <v>Venta Normal</v>
      </c>
    </row>
    <row r="96" spans="1:8" ht="15.75" customHeight="1" x14ac:dyDescent="0.3">
      <c r="A96" s="1">
        <v>46024</v>
      </c>
      <c r="B96" s="2" t="s">
        <v>135</v>
      </c>
      <c r="C96" s="2" t="s">
        <v>7</v>
      </c>
      <c r="D96" s="2" t="s">
        <v>2</v>
      </c>
      <c r="E96" s="2">
        <v>8</v>
      </c>
      <c r="F96" s="8">
        <v>352389</v>
      </c>
      <c r="G96" s="10">
        <v>0.06</v>
      </c>
      <c r="H96" s="18" t="str">
        <f>IF(tbl_Ventas[[#This Row],[Cantidad]]&gt;=10,"Venta Alta","Venta Normal")</f>
        <v>Venta Normal</v>
      </c>
    </row>
    <row r="97" spans="1:8" ht="15.75" customHeight="1" x14ac:dyDescent="0.3">
      <c r="A97" s="1">
        <v>46024</v>
      </c>
      <c r="B97" s="2" t="s">
        <v>136</v>
      </c>
      <c r="C97" s="2" t="s">
        <v>22</v>
      </c>
      <c r="D97" s="2" t="s">
        <v>17</v>
      </c>
      <c r="E97" s="2">
        <v>3</v>
      </c>
      <c r="F97" s="8">
        <v>290844</v>
      </c>
      <c r="G97" s="10">
        <v>0.09</v>
      </c>
      <c r="H97" s="18" t="str">
        <f>IF(tbl_Ventas[[#This Row],[Cantidad]]&gt;=10,"Venta Alta","Venta Normal")</f>
        <v>Venta Normal</v>
      </c>
    </row>
    <row r="98" spans="1:8" ht="15.75" customHeight="1" x14ac:dyDescent="0.3">
      <c r="A98" s="1">
        <v>46024</v>
      </c>
      <c r="B98" s="2" t="s">
        <v>137</v>
      </c>
      <c r="C98" s="2" t="s">
        <v>71</v>
      </c>
      <c r="D98" s="2" t="s">
        <v>13</v>
      </c>
      <c r="E98" s="2">
        <v>2</v>
      </c>
      <c r="F98" s="8">
        <v>769775</v>
      </c>
      <c r="G98" s="10">
        <v>0.03</v>
      </c>
      <c r="H98" s="18" t="str">
        <f>IF(tbl_Ventas[[#This Row],[Cantidad]]&gt;=10,"Venta Alta","Venta Normal")</f>
        <v>Venta Normal</v>
      </c>
    </row>
    <row r="99" spans="1:8" ht="15.75" customHeight="1" x14ac:dyDescent="0.3">
      <c r="A99" s="1">
        <v>46024</v>
      </c>
      <c r="B99" s="2" t="s">
        <v>138</v>
      </c>
      <c r="C99" s="2" t="s">
        <v>12</v>
      </c>
      <c r="D99" s="2" t="s">
        <v>25</v>
      </c>
      <c r="E99" s="2">
        <v>3</v>
      </c>
      <c r="F99" s="8">
        <v>216702</v>
      </c>
      <c r="G99" s="11">
        <v>0</v>
      </c>
      <c r="H99" s="17" t="str">
        <f>IF(tbl_Ventas[[#This Row],[Cantidad]]&gt;=10,"Venta Alta","Venta Normal")</f>
        <v>Venta Normal</v>
      </c>
    </row>
    <row r="100" spans="1:8" ht="15.75" customHeight="1" x14ac:dyDescent="0.3">
      <c r="A100" s="1">
        <v>46024</v>
      </c>
      <c r="B100" s="2" t="s">
        <v>139</v>
      </c>
      <c r="C100" s="2" t="s">
        <v>33</v>
      </c>
      <c r="D100" s="2" t="s">
        <v>13</v>
      </c>
      <c r="E100" s="2">
        <v>12</v>
      </c>
      <c r="F100" s="8">
        <v>131680</v>
      </c>
      <c r="G100" s="10">
        <v>0.02</v>
      </c>
      <c r="H100" s="18" t="str">
        <f>IF(tbl_Ventas[[#This Row],[Cantidad]]&gt;=10,"Venta Alta","Venta Normal")</f>
        <v>Venta Alta</v>
      </c>
    </row>
    <row r="101" spans="1:8" ht="15.75" customHeight="1" x14ac:dyDescent="0.3">
      <c r="A101" s="1">
        <v>46024</v>
      </c>
      <c r="B101" s="2" t="s">
        <v>140</v>
      </c>
      <c r="C101" s="2" t="s">
        <v>7</v>
      </c>
      <c r="D101" s="2" t="s">
        <v>2</v>
      </c>
      <c r="E101" s="2">
        <v>1</v>
      </c>
      <c r="F101" s="8">
        <v>664845</v>
      </c>
      <c r="G101" s="10">
        <v>0.11</v>
      </c>
      <c r="H101" s="18" t="str">
        <f>IF(tbl_Ventas[[#This Row],[Cantidad]]&gt;=10,"Venta Alta","Venta Normal")</f>
        <v>Venta Normal</v>
      </c>
    </row>
    <row r="102" spans="1:8" ht="15.75" customHeight="1" x14ac:dyDescent="0.3">
      <c r="A102" s="1">
        <v>46024</v>
      </c>
      <c r="B102" s="2" t="s">
        <v>141</v>
      </c>
      <c r="C102" s="2" t="s">
        <v>22</v>
      </c>
      <c r="D102" s="2" t="s">
        <v>17</v>
      </c>
      <c r="E102" s="2">
        <v>8</v>
      </c>
      <c r="F102" s="8">
        <v>445706</v>
      </c>
      <c r="G102" s="10">
        <v>0.06</v>
      </c>
      <c r="H102" s="18" t="str">
        <f>IF(tbl_Ventas[[#This Row],[Cantidad]]&gt;=10,"Venta Alta","Venta Normal")</f>
        <v>Venta Normal</v>
      </c>
    </row>
    <row r="103" spans="1:8" ht="15.75" customHeight="1" x14ac:dyDescent="0.3">
      <c r="A103" s="1">
        <v>46024</v>
      </c>
      <c r="B103" s="2" t="s">
        <v>142</v>
      </c>
      <c r="C103" s="2" t="s">
        <v>7</v>
      </c>
      <c r="D103" s="2" t="s">
        <v>2</v>
      </c>
      <c r="E103" s="2">
        <v>12</v>
      </c>
      <c r="F103" s="8">
        <v>512833</v>
      </c>
      <c r="G103" s="10">
        <v>0.02</v>
      </c>
      <c r="H103" s="18" t="str">
        <f>IF(tbl_Ventas[[#This Row],[Cantidad]]&gt;=10,"Venta Alta","Venta Normal")</f>
        <v>Venta Alta</v>
      </c>
    </row>
    <row r="104" spans="1:8" ht="15.75" customHeight="1" x14ac:dyDescent="0.3">
      <c r="A104" s="1">
        <v>46024</v>
      </c>
      <c r="B104" s="2" t="s">
        <v>143</v>
      </c>
      <c r="C104" s="2" t="s">
        <v>1</v>
      </c>
      <c r="D104" s="2" t="s">
        <v>17</v>
      </c>
      <c r="E104" s="2">
        <v>8</v>
      </c>
      <c r="F104" s="8">
        <v>115839</v>
      </c>
      <c r="G104" s="10">
        <v>0.13</v>
      </c>
      <c r="H104" s="18" t="str">
        <f>IF(tbl_Ventas[[#This Row],[Cantidad]]&gt;=10,"Venta Alta","Venta Normal")</f>
        <v>Venta Normal</v>
      </c>
    </row>
    <row r="105" spans="1:8" ht="15.75" customHeight="1" x14ac:dyDescent="0.3">
      <c r="A105" s="1">
        <v>46024</v>
      </c>
      <c r="B105" s="2" t="s">
        <v>144</v>
      </c>
      <c r="C105" s="2" t="s">
        <v>1</v>
      </c>
      <c r="D105" s="2" t="s">
        <v>25</v>
      </c>
      <c r="E105" s="2">
        <v>5</v>
      </c>
      <c r="F105" s="8">
        <v>706450</v>
      </c>
      <c r="G105" s="10">
        <v>0.05</v>
      </c>
      <c r="H105" s="18" t="str">
        <f>IF(tbl_Ventas[[#This Row],[Cantidad]]&gt;=10,"Venta Alta","Venta Normal")</f>
        <v>Venta Normal</v>
      </c>
    </row>
    <row r="106" spans="1:8" ht="15.75" customHeight="1" x14ac:dyDescent="0.3">
      <c r="A106" s="1">
        <v>46024</v>
      </c>
      <c r="B106" s="2" t="s">
        <v>145</v>
      </c>
      <c r="C106" s="2" t="s">
        <v>16</v>
      </c>
      <c r="D106" s="2" t="s">
        <v>13</v>
      </c>
      <c r="E106" s="2">
        <v>10</v>
      </c>
      <c r="F106" s="8">
        <v>216042</v>
      </c>
      <c r="G106" s="11">
        <v>0</v>
      </c>
      <c r="H106" s="17" t="str">
        <f>IF(tbl_Ventas[[#This Row],[Cantidad]]&gt;=10,"Venta Alta","Venta Normal")</f>
        <v>Venta Alta</v>
      </c>
    </row>
    <row r="107" spans="1:8" ht="15.75" customHeight="1" x14ac:dyDescent="0.3">
      <c r="A107" s="1">
        <v>46024</v>
      </c>
      <c r="B107" s="2" t="s">
        <v>146</v>
      </c>
      <c r="C107" s="2" t="s">
        <v>33</v>
      </c>
      <c r="D107" s="2" t="s">
        <v>25</v>
      </c>
      <c r="E107" s="2">
        <v>6</v>
      </c>
      <c r="F107" s="8">
        <v>154722</v>
      </c>
      <c r="G107" s="11">
        <v>0</v>
      </c>
      <c r="H107" s="17" t="str">
        <f>IF(tbl_Ventas[[#This Row],[Cantidad]]&gt;=10,"Venta Alta","Venta Normal")</f>
        <v>Venta Normal</v>
      </c>
    </row>
    <row r="108" spans="1:8" ht="15.75" customHeight="1" x14ac:dyDescent="0.3">
      <c r="A108" s="1">
        <v>46024</v>
      </c>
      <c r="B108" s="2" t="s">
        <v>147</v>
      </c>
      <c r="C108" s="2" t="s">
        <v>12</v>
      </c>
      <c r="D108" s="2" t="s">
        <v>51</v>
      </c>
      <c r="E108" s="2">
        <v>7</v>
      </c>
      <c r="F108" s="8">
        <v>198043</v>
      </c>
      <c r="G108" s="11">
        <v>0</v>
      </c>
      <c r="H108" s="17" t="str">
        <f>IF(tbl_Ventas[[#This Row],[Cantidad]]&gt;=10,"Venta Alta","Venta Normal")</f>
        <v>Venta Normal</v>
      </c>
    </row>
    <row r="109" spans="1:8" ht="15.75" customHeight="1" x14ac:dyDescent="0.3">
      <c r="A109" s="1">
        <v>46024</v>
      </c>
      <c r="B109" s="2" t="s">
        <v>148</v>
      </c>
      <c r="C109" s="2" t="s">
        <v>33</v>
      </c>
      <c r="D109" s="2" t="s">
        <v>2</v>
      </c>
      <c r="E109" s="2">
        <v>10</v>
      </c>
      <c r="F109" s="8">
        <v>311538</v>
      </c>
      <c r="G109" s="11">
        <v>0</v>
      </c>
      <c r="H109" s="17" t="str">
        <f>IF(tbl_Ventas[[#This Row],[Cantidad]]&gt;=10,"Venta Alta","Venta Normal")</f>
        <v>Venta Alta</v>
      </c>
    </row>
    <row r="110" spans="1:8" ht="15.75" customHeight="1" x14ac:dyDescent="0.3">
      <c r="A110" s="1">
        <v>46024</v>
      </c>
      <c r="B110" s="2" t="s">
        <v>149</v>
      </c>
      <c r="C110" s="2" t="s">
        <v>22</v>
      </c>
      <c r="D110" s="2" t="s">
        <v>51</v>
      </c>
      <c r="E110" s="2">
        <v>4</v>
      </c>
      <c r="F110" s="8">
        <v>272291</v>
      </c>
      <c r="G110" s="10">
        <v>0.1</v>
      </c>
      <c r="H110" s="18" t="str">
        <f>IF(tbl_Ventas[[#This Row],[Cantidad]]&gt;=10,"Venta Alta","Venta Normal")</f>
        <v>Venta Normal</v>
      </c>
    </row>
    <row r="111" spans="1:8" ht="15.75" customHeight="1" x14ac:dyDescent="0.3">
      <c r="A111" s="1">
        <v>46024</v>
      </c>
      <c r="B111" s="2" t="s">
        <v>150</v>
      </c>
      <c r="C111" s="2" t="s">
        <v>5</v>
      </c>
      <c r="D111" s="2" t="s">
        <v>17</v>
      </c>
      <c r="E111" s="2">
        <v>2</v>
      </c>
      <c r="F111" s="8">
        <v>778840</v>
      </c>
      <c r="G111" s="10">
        <v>0.08</v>
      </c>
      <c r="H111" s="18" t="str">
        <f>IF(tbl_Ventas[[#This Row],[Cantidad]]&gt;=10,"Venta Alta","Venta Normal")</f>
        <v>Venta Normal</v>
      </c>
    </row>
    <row r="112" spans="1:8" ht="15.75" customHeight="1" x14ac:dyDescent="0.3">
      <c r="A112" s="1">
        <v>46024</v>
      </c>
      <c r="B112" s="2" t="s">
        <v>151</v>
      </c>
      <c r="C112" s="2" t="s">
        <v>71</v>
      </c>
      <c r="D112" s="2" t="s">
        <v>25</v>
      </c>
      <c r="E112" s="2">
        <v>12</v>
      </c>
      <c r="F112" s="8">
        <v>839539</v>
      </c>
      <c r="G112" s="10">
        <v>0.09</v>
      </c>
      <c r="H112" s="18" t="str">
        <f>IF(tbl_Ventas[[#This Row],[Cantidad]]&gt;=10,"Venta Alta","Venta Normal")</f>
        <v>Venta Alta</v>
      </c>
    </row>
    <row r="113" spans="1:8" ht="15.75" customHeight="1" x14ac:dyDescent="0.3">
      <c r="A113" s="1">
        <v>46024</v>
      </c>
      <c r="B113" s="2" t="s">
        <v>152</v>
      </c>
      <c r="C113" s="2" t="s">
        <v>71</v>
      </c>
      <c r="D113" s="2" t="s">
        <v>2</v>
      </c>
      <c r="E113" s="2">
        <v>10</v>
      </c>
      <c r="F113" s="8">
        <v>193428</v>
      </c>
      <c r="G113" s="10">
        <v>0.12</v>
      </c>
      <c r="H113" s="18" t="str">
        <f>IF(tbl_Ventas[[#This Row],[Cantidad]]&gt;=10,"Venta Alta","Venta Normal")</f>
        <v>Venta Alta</v>
      </c>
    </row>
    <row r="114" spans="1:8" ht="15.75" customHeight="1" x14ac:dyDescent="0.3">
      <c r="A114" s="1">
        <v>46024</v>
      </c>
      <c r="B114" s="2" t="s">
        <v>105</v>
      </c>
      <c r="C114" s="2" t="s">
        <v>22</v>
      </c>
      <c r="D114" s="2" t="s">
        <v>17</v>
      </c>
      <c r="E114" s="2">
        <v>5</v>
      </c>
      <c r="F114" s="8">
        <v>80174</v>
      </c>
      <c r="G114" s="10">
        <v>0.06</v>
      </c>
      <c r="H114" s="18" t="str">
        <f>IF(tbl_Ventas[[#This Row],[Cantidad]]&gt;=10,"Venta Alta","Venta Normal")</f>
        <v>Venta Normal</v>
      </c>
    </row>
    <row r="115" spans="1:8" ht="15.75" customHeight="1" x14ac:dyDescent="0.3">
      <c r="A115" s="1">
        <v>46024</v>
      </c>
      <c r="B115" s="2" t="s">
        <v>122</v>
      </c>
      <c r="C115" s="2" t="s">
        <v>7</v>
      </c>
      <c r="D115" s="41" t="s">
        <v>557</v>
      </c>
      <c r="E115" s="2">
        <v>11</v>
      </c>
      <c r="F115" s="8">
        <v>532645</v>
      </c>
      <c r="G115" s="11">
        <v>0</v>
      </c>
      <c r="H115" s="17" t="str">
        <f>IF(tbl_Ventas[[#This Row],[Cantidad]]&gt;=10,"Venta Alta","Venta Normal")</f>
        <v>Venta Alta</v>
      </c>
    </row>
    <row r="116" spans="1:8" ht="15.75" customHeight="1" x14ac:dyDescent="0.3">
      <c r="A116" s="1">
        <v>46025</v>
      </c>
      <c r="B116" s="2" t="s">
        <v>153</v>
      </c>
      <c r="C116" s="2" t="s">
        <v>5</v>
      </c>
      <c r="D116" s="2" t="s">
        <v>25</v>
      </c>
      <c r="E116" s="2">
        <v>9</v>
      </c>
      <c r="F116" s="8">
        <v>807560</v>
      </c>
      <c r="G116" s="10">
        <v>0.08</v>
      </c>
      <c r="H116" s="18" t="str">
        <f>IF(tbl_Ventas[[#This Row],[Cantidad]]&gt;=10,"Venta Alta","Venta Normal")</f>
        <v>Venta Normal</v>
      </c>
    </row>
    <row r="117" spans="1:8" ht="15.75" customHeight="1" x14ac:dyDescent="0.3">
      <c r="A117" s="1">
        <v>46025</v>
      </c>
      <c r="B117" s="2" t="s">
        <v>154</v>
      </c>
      <c r="C117" s="2" t="s">
        <v>22</v>
      </c>
      <c r="D117" s="2" t="s">
        <v>51</v>
      </c>
      <c r="E117" s="2">
        <v>8</v>
      </c>
      <c r="F117" s="8">
        <v>392115</v>
      </c>
      <c r="G117" s="10">
        <v>0.1</v>
      </c>
      <c r="H117" s="18" t="str">
        <f>IF(tbl_Ventas[[#This Row],[Cantidad]]&gt;=10,"Venta Alta","Venta Normal")</f>
        <v>Venta Normal</v>
      </c>
    </row>
    <row r="118" spans="1:8" ht="15.75" customHeight="1" x14ac:dyDescent="0.3">
      <c r="A118" s="1">
        <v>46025</v>
      </c>
      <c r="B118" s="2" t="s">
        <v>155</v>
      </c>
      <c r="C118" s="2" t="s">
        <v>5</v>
      </c>
      <c r="D118" s="2" t="s">
        <v>2</v>
      </c>
      <c r="E118" s="2">
        <v>2</v>
      </c>
      <c r="F118" s="8">
        <v>488715</v>
      </c>
      <c r="G118" s="10">
        <v>0.03</v>
      </c>
      <c r="H118" s="18" t="str">
        <f>IF(tbl_Ventas[[#This Row],[Cantidad]]&gt;=10,"Venta Alta","Venta Normal")</f>
        <v>Venta Normal</v>
      </c>
    </row>
    <row r="119" spans="1:8" ht="15.75" customHeight="1" x14ac:dyDescent="0.3">
      <c r="A119" s="1">
        <v>46025</v>
      </c>
      <c r="B119" s="2" t="s">
        <v>156</v>
      </c>
      <c r="C119" s="2" t="s">
        <v>7</v>
      </c>
      <c r="D119" s="2" t="s">
        <v>25</v>
      </c>
      <c r="E119" s="2">
        <v>9</v>
      </c>
      <c r="F119" s="8">
        <v>480080</v>
      </c>
      <c r="G119" s="11">
        <v>0</v>
      </c>
      <c r="H119" s="17" t="str">
        <f>IF(tbl_Ventas[[#This Row],[Cantidad]]&gt;=10,"Venta Alta","Venta Normal")</f>
        <v>Venta Normal</v>
      </c>
    </row>
    <row r="120" spans="1:8" ht="15.75" customHeight="1" x14ac:dyDescent="0.3">
      <c r="A120" s="1">
        <v>46025</v>
      </c>
      <c r="B120" s="2" t="s">
        <v>157</v>
      </c>
      <c r="C120" s="2" t="s">
        <v>5</v>
      </c>
      <c r="D120" s="2" t="s">
        <v>13</v>
      </c>
      <c r="E120" s="2">
        <v>8</v>
      </c>
      <c r="F120" s="8">
        <v>625796</v>
      </c>
      <c r="G120" s="11">
        <v>0</v>
      </c>
      <c r="H120" s="17" t="str">
        <f>IF(tbl_Ventas[[#This Row],[Cantidad]]&gt;=10,"Venta Alta","Venta Normal")</f>
        <v>Venta Normal</v>
      </c>
    </row>
    <row r="121" spans="1:8" ht="15.75" customHeight="1" x14ac:dyDescent="0.3">
      <c r="A121" s="1">
        <v>46025</v>
      </c>
      <c r="B121" s="2" t="s">
        <v>158</v>
      </c>
      <c r="C121" s="2" t="s">
        <v>71</v>
      </c>
      <c r="D121" s="2" t="s">
        <v>25</v>
      </c>
      <c r="E121" s="2">
        <v>4</v>
      </c>
      <c r="F121" s="8">
        <v>842721</v>
      </c>
      <c r="G121" s="10">
        <v>0.09</v>
      </c>
      <c r="H121" s="18" t="str">
        <f>IF(tbl_Ventas[[#This Row],[Cantidad]]&gt;=10,"Venta Alta","Venta Normal")</f>
        <v>Venta Normal</v>
      </c>
    </row>
    <row r="122" spans="1:8" ht="15.75" customHeight="1" x14ac:dyDescent="0.3">
      <c r="A122" s="1">
        <v>46025</v>
      </c>
      <c r="B122" s="2" t="s">
        <v>159</v>
      </c>
      <c r="C122" s="2" t="s">
        <v>7</v>
      </c>
      <c r="D122" s="2" t="s">
        <v>51</v>
      </c>
      <c r="E122" s="2">
        <v>10</v>
      </c>
      <c r="F122" s="8">
        <v>349860</v>
      </c>
      <c r="G122" s="10">
        <v>0.02</v>
      </c>
      <c r="H122" s="18" t="str">
        <f>IF(tbl_Ventas[[#This Row],[Cantidad]]&gt;=10,"Venta Alta","Venta Normal")</f>
        <v>Venta Alta</v>
      </c>
    </row>
    <row r="123" spans="1:8" ht="15.75" customHeight="1" x14ac:dyDescent="0.3">
      <c r="A123" s="1">
        <v>46025</v>
      </c>
      <c r="B123" s="2" t="s">
        <v>160</v>
      </c>
      <c r="C123" s="2" t="s">
        <v>22</v>
      </c>
      <c r="D123" s="2" t="s">
        <v>51</v>
      </c>
      <c r="E123" s="2">
        <v>6</v>
      </c>
      <c r="F123" s="8">
        <v>499715</v>
      </c>
      <c r="G123" s="11">
        <v>0</v>
      </c>
      <c r="H123" s="17" t="str">
        <f>IF(tbl_Ventas[[#This Row],[Cantidad]]&gt;=10,"Venta Alta","Venta Normal")</f>
        <v>Venta Normal</v>
      </c>
    </row>
    <row r="124" spans="1:8" ht="15.75" customHeight="1" x14ac:dyDescent="0.3">
      <c r="A124" s="1">
        <v>46025</v>
      </c>
      <c r="B124" s="2" t="s">
        <v>161</v>
      </c>
      <c r="C124" s="2" t="s">
        <v>16</v>
      </c>
      <c r="D124" s="2" t="s">
        <v>17</v>
      </c>
      <c r="E124" s="2">
        <v>2</v>
      </c>
      <c r="F124" s="8">
        <v>418857</v>
      </c>
      <c r="G124" s="11">
        <v>0</v>
      </c>
      <c r="H124" s="17" t="str">
        <f>IF(tbl_Ventas[[#This Row],[Cantidad]]&gt;=10,"Venta Alta","Venta Normal")</f>
        <v>Venta Normal</v>
      </c>
    </row>
    <row r="125" spans="1:8" ht="15.75" customHeight="1" x14ac:dyDescent="0.3">
      <c r="A125" s="1">
        <v>46025</v>
      </c>
      <c r="B125" s="2" t="s">
        <v>162</v>
      </c>
      <c r="C125" s="2" t="s">
        <v>5</v>
      </c>
      <c r="D125" s="2" t="s">
        <v>13</v>
      </c>
      <c r="E125" s="2">
        <v>2</v>
      </c>
      <c r="F125" s="8">
        <v>623398</v>
      </c>
      <c r="G125" s="10">
        <v>0.04</v>
      </c>
      <c r="H125" s="18" t="str">
        <f>IF(tbl_Ventas[[#This Row],[Cantidad]]&gt;=10,"Venta Alta","Venta Normal")</f>
        <v>Venta Normal</v>
      </c>
    </row>
    <row r="126" spans="1:8" ht="15.75" customHeight="1" x14ac:dyDescent="0.3">
      <c r="A126" s="1">
        <v>46025</v>
      </c>
      <c r="B126" s="2" t="s">
        <v>163</v>
      </c>
      <c r="C126" s="2" t="s">
        <v>1</v>
      </c>
      <c r="D126" s="2" t="s">
        <v>2</v>
      </c>
      <c r="E126" s="2">
        <v>11</v>
      </c>
      <c r="F126" s="8">
        <v>56125</v>
      </c>
      <c r="G126" s="10">
        <v>0.09</v>
      </c>
      <c r="H126" s="18" t="str">
        <f>IF(tbl_Ventas[[#This Row],[Cantidad]]&gt;=10,"Venta Alta","Venta Normal")</f>
        <v>Venta Alta</v>
      </c>
    </row>
    <row r="127" spans="1:8" ht="15.75" customHeight="1" x14ac:dyDescent="0.3">
      <c r="A127" s="1">
        <v>46025</v>
      </c>
      <c r="B127" s="2" t="s">
        <v>164</v>
      </c>
      <c r="C127" s="2" t="s">
        <v>12</v>
      </c>
      <c r="D127" s="2" t="s">
        <v>25</v>
      </c>
      <c r="E127" s="2">
        <v>7</v>
      </c>
      <c r="F127" s="8">
        <v>377757</v>
      </c>
      <c r="G127" s="10">
        <v>0.1</v>
      </c>
      <c r="H127" s="18" t="str">
        <f>IF(tbl_Ventas[[#This Row],[Cantidad]]&gt;=10,"Venta Alta","Venta Normal")</f>
        <v>Venta Normal</v>
      </c>
    </row>
    <row r="128" spans="1:8" ht="15.75" customHeight="1" x14ac:dyDescent="0.3">
      <c r="A128" s="1">
        <v>46025</v>
      </c>
      <c r="B128" s="2" t="s">
        <v>165</v>
      </c>
      <c r="C128" s="2" t="s">
        <v>71</v>
      </c>
      <c r="D128" s="2" t="s">
        <v>2</v>
      </c>
      <c r="E128" s="2">
        <v>1</v>
      </c>
      <c r="F128" s="8">
        <v>460563</v>
      </c>
      <c r="G128" s="10">
        <v>0.11</v>
      </c>
      <c r="H128" s="18" t="str">
        <f>IF(tbl_Ventas[[#This Row],[Cantidad]]&gt;=10,"Venta Alta","Venta Normal")</f>
        <v>Venta Normal</v>
      </c>
    </row>
    <row r="129" spans="1:8" ht="15.75" customHeight="1" x14ac:dyDescent="0.3">
      <c r="A129" s="1">
        <v>46025</v>
      </c>
      <c r="B129" s="2" t="s">
        <v>166</v>
      </c>
      <c r="C129" s="2" t="s">
        <v>16</v>
      </c>
      <c r="D129" s="2" t="s">
        <v>25</v>
      </c>
      <c r="E129" s="2">
        <v>5</v>
      </c>
      <c r="F129" s="8">
        <v>366616</v>
      </c>
      <c r="G129" s="10">
        <v>0.13</v>
      </c>
      <c r="H129" s="18" t="str">
        <f>IF(tbl_Ventas[[#This Row],[Cantidad]]&gt;=10,"Venta Alta","Venta Normal")</f>
        <v>Venta Normal</v>
      </c>
    </row>
    <row r="130" spans="1:8" ht="15.75" customHeight="1" x14ac:dyDescent="0.3">
      <c r="A130" s="1">
        <v>46025</v>
      </c>
      <c r="B130" s="2" t="s">
        <v>167</v>
      </c>
      <c r="C130" s="2" t="s">
        <v>5</v>
      </c>
      <c r="D130" s="2" t="s">
        <v>17</v>
      </c>
      <c r="E130" s="2">
        <v>11</v>
      </c>
      <c r="F130" s="8">
        <v>647141</v>
      </c>
      <c r="G130" s="11">
        <v>0</v>
      </c>
      <c r="H130" s="17" t="str">
        <f>IF(tbl_Ventas[[#This Row],[Cantidad]]&gt;=10,"Venta Alta","Venta Normal")</f>
        <v>Venta Alta</v>
      </c>
    </row>
    <row r="131" spans="1:8" ht="15.75" customHeight="1" x14ac:dyDescent="0.3">
      <c r="A131" s="1">
        <v>46025</v>
      </c>
      <c r="B131" s="2" t="s">
        <v>168</v>
      </c>
      <c r="C131" s="2" t="s">
        <v>16</v>
      </c>
      <c r="D131" s="2" t="s">
        <v>25</v>
      </c>
      <c r="E131" s="2">
        <v>9</v>
      </c>
      <c r="F131" s="8">
        <v>743585</v>
      </c>
      <c r="G131" s="10">
        <v>0.1</v>
      </c>
      <c r="H131" s="18" t="str">
        <f>IF(tbl_Ventas[[#This Row],[Cantidad]]&gt;=10,"Venta Alta","Venta Normal")</f>
        <v>Venta Normal</v>
      </c>
    </row>
    <row r="132" spans="1:8" ht="15.75" customHeight="1" x14ac:dyDescent="0.3">
      <c r="A132" s="1">
        <v>46025</v>
      </c>
      <c r="B132" s="2" t="s">
        <v>169</v>
      </c>
      <c r="C132" s="2" t="s">
        <v>16</v>
      </c>
      <c r="D132" s="2" t="s">
        <v>25</v>
      </c>
      <c r="E132" s="2">
        <v>7</v>
      </c>
      <c r="F132" s="8">
        <v>553453</v>
      </c>
      <c r="G132" s="10">
        <v>0.04</v>
      </c>
      <c r="H132" s="18" t="str">
        <f>IF(tbl_Ventas[[#This Row],[Cantidad]]&gt;=10,"Venta Alta","Venta Normal")</f>
        <v>Venta Normal</v>
      </c>
    </row>
    <row r="133" spans="1:8" ht="15.75" customHeight="1" x14ac:dyDescent="0.3">
      <c r="A133" s="1">
        <v>46025</v>
      </c>
      <c r="B133" s="2" t="s">
        <v>170</v>
      </c>
      <c r="C133" s="2" t="s">
        <v>16</v>
      </c>
      <c r="D133" s="2" t="s">
        <v>51</v>
      </c>
      <c r="E133" s="2">
        <v>9</v>
      </c>
      <c r="F133" s="8">
        <v>295928</v>
      </c>
      <c r="G133" s="10">
        <v>0.13</v>
      </c>
      <c r="H133" s="18" t="str">
        <f>IF(tbl_Ventas[[#This Row],[Cantidad]]&gt;=10,"Venta Alta","Venta Normal")</f>
        <v>Venta Normal</v>
      </c>
    </row>
    <row r="134" spans="1:8" ht="15.75" customHeight="1" x14ac:dyDescent="0.3">
      <c r="A134" s="1">
        <v>46025</v>
      </c>
      <c r="B134" s="2" t="s">
        <v>171</v>
      </c>
      <c r="C134" s="2" t="s">
        <v>71</v>
      </c>
      <c r="D134" s="2" t="s">
        <v>13</v>
      </c>
      <c r="E134" s="2">
        <v>7</v>
      </c>
      <c r="F134" s="8">
        <v>47413</v>
      </c>
      <c r="G134" s="10">
        <v>0.1</v>
      </c>
      <c r="H134" s="18" t="str">
        <f>IF(tbl_Ventas[[#This Row],[Cantidad]]&gt;=10,"Venta Alta","Venta Normal")</f>
        <v>Venta Normal</v>
      </c>
    </row>
    <row r="135" spans="1:8" ht="15.75" customHeight="1" x14ac:dyDescent="0.3">
      <c r="A135" s="1">
        <v>46025</v>
      </c>
      <c r="B135" s="2" t="s">
        <v>172</v>
      </c>
      <c r="C135" s="2" t="s">
        <v>33</v>
      </c>
      <c r="D135" s="2" t="s">
        <v>51</v>
      </c>
      <c r="E135" s="2">
        <v>3</v>
      </c>
      <c r="F135" s="8">
        <v>306890</v>
      </c>
      <c r="G135" s="10">
        <v>0.06</v>
      </c>
      <c r="H135" s="18" t="str">
        <f>IF(tbl_Ventas[[#This Row],[Cantidad]]&gt;=10,"Venta Alta","Venta Normal")</f>
        <v>Venta Normal</v>
      </c>
    </row>
    <row r="136" spans="1:8" ht="15.75" customHeight="1" x14ac:dyDescent="0.3">
      <c r="A136" s="1">
        <v>46025</v>
      </c>
      <c r="B136" s="2" t="s">
        <v>173</v>
      </c>
      <c r="C136" s="2" t="s">
        <v>71</v>
      </c>
      <c r="D136" s="2" t="s">
        <v>13</v>
      </c>
      <c r="E136" s="2">
        <v>6</v>
      </c>
      <c r="F136" s="8">
        <v>58002</v>
      </c>
      <c r="G136" s="10">
        <v>0.14000000000000001</v>
      </c>
      <c r="H136" s="18" t="str">
        <f>IF(tbl_Ventas[[#This Row],[Cantidad]]&gt;=10,"Venta Alta","Venta Normal")</f>
        <v>Venta Normal</v>
      </c>
    </row>
    <row r="137" spans="1:8" ht="15.75" customHeight="1" x14ac:dyDescent="0.3">
      <c r="A137" s="1">
        <v>46025</v>
      </c>
      <c r="B137" s="2" t="s">
        <v>174</v>
      </c>
      <c r="C137" s="2" t="s">
        <v>22</v>
      </c>
      <c r="D137" s="2" t="s">
        <v>17</v>
      </c>
      <c r="E137" s="2">
        <v>7</v>
      </c>
      <c r="F137" s="8">
        <v>128859</v>
      </c>
      <c r="G137" s="11">
        <v>0</v>
      </c>
      <c r="H137" s="17" t="str">
        <f>IF(tbl_Ventas[[#This Row],[Cantidad]]&gt;=10,"Venta Alta","Venta Normal")</f>
        <v>Venta Normal</v>
      </c>
    </row>
    <row r="138" spans="1:8" ht="15.75" customHeight="1" x14ac:dyDescent="0.3">
      <c r="A138" s="1">
        <v>46025</v>
      </c>
      <c r="B138" s="2" t="s">
        <v>175</v>
      </c>
      <c r="C138" s="2" t="s">
        <v>71</v>
      </c>
      <c r="D138" s="2" t="s">
        <v>17</v>
      </c>
      <c r="E138" s="2">
        <v>9</v>
      </c>
      <c r="F138" s="8">
        <v>653504</v>
      </c>
      <c r="G138" s="11">
        <v>0</v>
      </c>
      <c r="H138" s="17" t="str">
        <f>IF(tbl_Ventas[[#This Row],[Cantidad]]&gt;=10,"Venta Alta","Venta Normal")</f>
        <v>Venta Normal</v>
      </c>
    </row>
    <row r="139" spans="1:8" ht="15.75" customHeight="1" x14ac:dyDescent="0.3">
      <c r="A139" s="1">
        <v>46025</v>
      </c>
      <c r="B139" s="2" t="s">
        <v>176</v>
      </c>
      <c r="C139" s="2" t="s">
        <v>12</v>
      </c>
      <c r="D139" s="2" t="s">
        <v>51</v>
      </c>
      <c r="E139" s="2">
        <v>1</v>
      </c>
      <c r="F139" s="8">
        <v>327536</v>
      </c>
      <c r="G139" s="11">
        <v>0</v>
      </c>
      <c r="H139" s="17" t="str">
        <f>IF(tbl_Ventas[[#This Row],[Cantidad]]&gt;=10,"Venta Alta","Venta Normal")</f>
        <v>Venta Normal</v>
      </c>
    </row>
    <row r="140" spans="1:8" ht="15.75" customHeight="1" x14ac:dyDescent="0.3">
      <c r="A140" s="1">
        <v>46025</v>
      </c>
      <c r="B140" s="2" t="s">
        <v>177</v>
      </c>
      <c r="C140" s="2" t="s">
        <v>16</v>
      </c>
      <c r="D140" s="2" t="s">
        <v>17</v>
      </c>
      <c r="E140" s="2">
        <v>3</v>
      </c>
      <c r="F140" s="8">
        <v>662870</v>
      </c>
      <c r="G140" s="11">
        <v>0</v>
      </c>
      <c r="H140" s="17" t="str">
        <f>IF(tbl_Ventas[[#This Row],[Cantidad]]&gt;=10,"Venta Alta","Venta Normal")</f>
        <v>Venta Normal</v>
      </c>
    </row>
    <row r="141" spans="1:8" ht="15.75" customHeight="1" x14ac:dyDescent="0.3">
      <c r="A141" s="1">
        <v>46025</v>
      </c>
      <c r="B141" s="2" t="s">
        <v>178</v>
      </c>
      <c r="C141" s="2" t="s">
        <v>1</v>
      </c>
      <c r="D141" s="2" t="s">
        <v>2</v>
      </c>
      <c r="E141" s="2">
        <v>12</v>
      </c>
      <c r="F141" s="8">
        <v>345135</v>
      </c>
      <c r="G141" s="11">
        <v>0</v>
      </c>
      <c r="H141" s="17" t="str">
        <f>IF(tbl_Ventas[[#This Row],[Cantidad]]&gt;=10,"Venta Alta","Venta Normal")</f>
        <v>Venta Alta</v>
      </c>
    </row>
    <row r="142" spans="1:8" ht="15.75" customHeight="1" x14ac:dyDescent="0.3">
      <c r="A142" s="1">
        <v>46025</v>
      </c>
      <c r="B142" s="2" t="s">
        <v>179</v>
      </c>
      <c r="C142" s="2" t="s">
        <v>1</v>
      </c>
      <c r="D142" s="2" t="s">
        <v>17</v>
      </c>
      <c r="E142" s="2">
        <v>2</v>
      </c>
      <c r="F142" s="8">
        <v>388768</v>
      </c>
      <c r="G142" s="11">
        <v>0</v>
      </c>
      <c r="H142" s="17" t="str">
        <f>IF(tbl_Ventas[[#This Row],[Cantidad]]&gt;=10,"Venta Alta","Venta Normal")</f>
        <v>Venta Normal</v>
      </c>
    </row>
    <row r="143" spans="1:8" ht="15.75" customHeight="1" x14ac:dyDescent="0.3">
      <c r="A143" s="1">
        <v>46025</v>
      </c>
      <c r="B143" s="2" t="s">
        <v>180</v>
      </c>
      <c r="C143" s="2" t="s">
        <v>33</v>
      </c>
      <c r="D143" s="2" t="s">
        <v>51</v>
      </c>
      <c r="E143" s="2">
        <v>2</v>
      </c>
      <c r="F143" s="8">
        <v>561153</v>
      </c>
      <c r="G143" s="11">
        <v>0</v>
      </c>
      <c r="H143" s="17" t="str">
        <f>IF(tbl_Ventas[[#This Row],[Cantidad]]&gt;=10,"Venta Alta","Venta Normal")</f>
        <v>Venta Normal</v>
      </c>
    </row>
    <row r="144" spans="1:8" ht="15.75" customHeight="1" x14ac:dyDescent="0.3">
      <c r="A144" s="1">
        <v>46025</v>
      </c>
      <c r="B144" s="2" t="s">
        <v>181</v>
      </c>
      <c r="C144" s="2" t="s">
        <v>5</v>
      </c>
      <c r="D144" s="2" t="s">
        <v>13</v>
      </c>
      <c r="E144" s="2">
        <v>7</v>
      </c>
      <c r="F144" s="8">
        <v>349916</v>
      </c>
      <c r="G144" s="10">
        <v>0.05</v>
      </c>
      <c r="H144" s="18" t="str">
        <f>IF(tbl_Ventas[[#This Row],[Cantidad]]&gt;=10,"Venta Alta","Venta Normal")</f>
        <v>Venta Normal</v>
      </c>
    </row>
    <row r="145" spans="1:8" ht="15.75" customHeight="1" x14ac:dyDescent="0.3">
      <c r="A145" s="1">
        <v>46025</v>
      </c>
      <c r="B145" s="2" t="s">
        <v>182</v>
      </c>
      <c r="C145" s="2" t="s">
        <v>33</v>
      </c>
      <c r="D145" s="2" t="s">
        <v>13</v>
      </c>
      <c r="E145" s="2">
        <v>8</v>
      </c>
      <c r="F145" s="8">
        <v>299456</v>
      </c>
      <c r="G145" s="10">
        <v>0.05</v>
      </c>
      <c r="H145" s="18" t="str">
        <f>IF(tbl_Ventas[[#This Row],[Cantidad]]&gt;=10,"Venta Alta","Venta Normal")</f>
        <v>Venta Normal</v>
      </c>
    </row>
    <row r="146" spans="1:8" ht="15.75" customHeight="1" x14ac:dyDescent="0.3">
      <c r="A146" s="1">
        <v>46025</v>
      </c>
      <c r="B146" s="2" t="s">
        <v>183</v>
      </c>
      <c r="C146" s="2" t="s">
        <v>7</v>
      </c>
      <c r="D146" s="2" t="s">
        <v>17</v>
      </c>
      <c r="E146" s="2">
        <v>3</v>
      </c>
      <c r="F146" s="8">
        <v>458766</v>
      </c>
      <c r="G146" s="10">
        <v>0.1</v>
      </c>
      <c r="H146" s="18" t="str">
        <f>IF(tbl_Ventas[[#This Row],[Cantidad]]&gt;=10,"Venta Alta","Venta Normal")</f>
        <v>Venta Normal</v>
      </c>
    </row>
    <row r="147" spans="1:8" ht="15.75" customHeight="1" x14ac:dyDescent="0.3">
      <c r="A147" s="1">
        <v>46025</v>
      </c>
      <c r="B147" s="2" t="s">
        <v>184</v>
      </c>
      <c r="C147" s="2" t="s">
        <v>7</v>
      </c>
      <c r="D147" s="2" t="s">
        <v>13</v>
      </c>
      <c r="E147" s="2">
        <v>6</v>
      </c>
      <c r="F147" s="8">
        <v>826975</v>
      </c>
      <c r="G147" s="10">
        <v>0.13</v>
      </c>
      <c r="H147" s="18" t="str">
        <f>IF(tbl_Ventas[[#This Row],[Cantidad]]&gt;=10,"Venta Alta","Venta Normal")</f>
        <v>Venta Normal</v>
      </c>
    </row>
    <row r="148" spans="1:8" ht="15.75" customHeight="1" x14ac:dyDescent="0.3">
      <c r="A148" s="1">
        <v>46025</v>
      </c>
      <c r="B148" s="2" t="s">
        <v>185</v>
      </c>
      <c r="C148" s="2" t="s">
        <v>22</v>
      </c>
      <c r="D148" s="2" t="s">
        <v>17</v>
      </c>
      <c r="E148" s="2">
        <v>9</v>
      </c>
      <c r="F148" s="8">
        <v>99956</v>
      </c>
      <c r="G148" s="10">
        <v>7.0000000000000007E-2</v>
      </c>
      <c r="H148" s="18" t="str">
        <f>IF(tbl_Ventas[[#This Row],[Cantidad]]&gt;=10,"Venta Alta","Venta Normal")</f>
        <v>Venta Normal</v>
      </c>
    </row>
    <row r="149" spans="1:8" ht="15.75" customHeight="1" x14ac:dyDescent="0.3">
      <c r="A149" s="1">
        <v>46025</v>
      </c>
      <c r="B149" s="2" t="s">
        <v>186</v>
      </c>
      <c r="C149" s="2" t="s">
        <v>1</v>
      </c>
      <c r="D149" s="2" t="s">
        <v>13</v>
      </c>
      <c r="E149" s="2">
        <v>9</v>
      </c>
      <c r="F149" s="8">
        <v>186497</v>
      </c>
      <c r="G149" s="11">
        <v>0</v>
      </c>
      <c r="H149" s="17" t="str">
        <f>IF(tbl_Ventas[[#This Row],[Cantidad]]&gt;=10,"Venta Alta","Venta Normal")</f>
        <v>Venta Normal</v>
      </c>
    </row>
    <row r="150" spans="1:8" ht="15.75" customHeight="1" x14ac:dyDescent="0.3">
      <c r="A150" s="1">
        <v>46025</v>
      </c>
      <c r="B150" s="2" t="s">
        <v>187</v>
      </c>
      <c r="C150" s="2" t="s">
        <v>22</v>
      </c>
      <c r="D150" s="2" t="s">
        <v>25</v>
      </c>
      <c r="E150" s="2">
        <v>1</v>
      </c>
      <c r="F150" s="8">
        <v>666249</v>
      </c>
      <c r="G150" s="10">
        <v>0.11</v>
      </c>
      <c r="H150" s="18" t="str">
        <f>IF(tbl_Ventas[[#This Row],[Cantidad]]&gt;=10,"Venta Alta","Venta Normal")</f>
        <v>Venta Normal</v>
      </c>
    </row>
    <row r="151" spans="1:8" ht="15.75" customHeight="1" x14ac:dyDescent="0.3">
      <c r="A151" s="1">
        <v>46025</v>
      </c>
      <c r="B151" s="2" t="s">
        <v>188</v>
      </c>
      <c r="C151" s="2" t="s">
        <v>5</v>
      </c>
      <c r="D151" s="2" t="s">
        <v>51</v>
      </c>
      <c r="E151" s="2">
        <v>1</v>
      </c>
      <c r="F151" s="8">
        <v>81181</v>
      </c>
      <c r="G151" s="11">
        <v>0</v>
      </c>
      <c r="H151" s="17" t="str">
        <f>IF(tbl_Ventas[[#This Row],[Cantidad]]&gt;=10,"Venta Alta","Venta Normal")</f>
        <v>Venta Normal</v>
      </c>
    </row>
    <row r="152" spans="1:8" ht="15.75" customHeight="1" x14ac:dyDescent="0.3">
      <c r="A152" s="1">
        <v>46025</v>
      </c>
      <c r="B152" s="2" t="s">
        <v>189</v>
      </c>
      <c r="C152" s="2" t="s">
        <v>7</v>
      </c>
      <c r="D152" s="2" t="s">
        <v>2</v>
      </c>
      <c r="E152" s="2">
        <v>6</v>
      </c>
      <c r="F152" s="8">
        <v>280272</v>
      </c>
      <c r="G152" s="10">
        <v>0.09</v>
      </c>
      <c r="H152" s="18" t="str">
        <f>IF(tbl_Ventas[[#This Row],[Cantidad]]&gt;=10,"Venta Alta","Venta Normal")</f>
        <v>Venta Normal</v>
      </c>
    </row>
    <row r="153" spans="1:8" ht="15.75" customHeight="1" x14ac:dyDescent="0.3">
      <c r="A153" s="1">
        <v>46025</v>
      </c>
      <c r="B153" s="2" t="s">
        <v>190</v>
      </c>
      <c r="C153" s="2" t="s">
        <v>1</v>
      </c>
      <c r="D153" s="2" t="s">
        <v>2</v>
      </c>
      <c r="E153" s="2">
        <v>6</v>
      </c>
      <c r="F153" s="8">
        <v>233992</v>
      </c>
      <c r="G153" s="10">
        <v>0.09</v>
      </c>
      <c r="H153" s="18" t="str">
        <f>IF(tbl_Ventas[[#This Row],[Cantidad]]&gt;=10,"Venta Alta","Venta Normal")</f>
        <v>Venta Normal</v>
      </c>
    </row>
    <row r="154" spans="1:8" ht="15.75" customHeight="1" x14ac:dyDescent="0.3">
      <c r="A154" s="1">
        <v>46025</v>
      </c>
      <c r="B154" s="2" t="s">
        <v>191</v>
      </c>
      <c r="C154" s="2" t="s">
        <v>1</v>
      </c>
      <c r="D154" s="2" t="s">
        <v>13</v>
      </c>
      <c r="E154" s="2">
        <v>8</v>
      </c>
      <c r="F154" s="8">
        <v>519298</v>
      </c>
      <c r="G154" s="11">
        <v>0</v>
      </c>
      <c r="H154" s="17" t="str">
        <f>IF(tbl_Ventas[[#This Row],[Cantidad]]&gt;=10,"Venta Alta","Venta Normal")</f>
        <v>Venta Normal</v>
      </c>
    </row>
    <row r="155" spans="1:8" ht="15.75" customHeight="1" x14ac:dyDescent="0.3">
      <c r="A155" s="1">
        <v>46025</v>
      </c>
      <c r="B155" s="2" t="s">
        <v>192</v>
      </c>
      <c r="C155" s="2" t="s">
        <v>7</v>
      </c>
      <c r="D155" s="2" t="s">
        <v>51</v>
      </c>
      <c r="E155" s="2">
        <v>3</v>
      </c>
      <c r="F155" s="8">
        <v>682275</v>
      </c>
      <c r="G155" s="10">
        <v>0.12</v>
      </c>
      <c r="H155" s="18" t="str">
        <f>IF(tbl_Ventas[[#This Row],[Cantidad]]&gt;=10,"Venta Alta","Venta Normal")</f>
        <v>Venta Normal</v>
      </c>
    </row>
    <row r="156" spans="1:8" ht="15.75" customHeight="1" x14ac:dyDescent="0.3">
      <c r="A156" s="1">
        <v>46025</v>
      </c>
      <c r="B156" s="2" t="s">
        <v>193</v>
      </c>
      <c r="C156" s="2" t="s">
        <v>1</v>
      </c>
      <c r="D156" s="2" t="s">
        <v>2</v>
      </c>
      <c r="E156" s="2">
        <v>9</v>
      </c>
      <c r="F156" s="8">
        <v>265822</v>
      </c>
      <c r="G156" s="10">
        <v>0.05</v>
      </c>
      <c r="H156" s="18" t="str">
        <f>IF(tbl_Ventas[[#This Row],[Cantidad]]&gt;=10,"Venta Alta","Venta Normal")</f>
        <v>Venta Normal</v>
      </c>
    </row>
    <row r="157" spans="1:8" ht="15.75" customHeight="1" x14ac:dyDescent="0.3">
      <c r="A157" s="1">
        <v>46025</v>
      </c>
      <c r="B157" s="2" t="s">
        <v>194</v>
      </c>
      <c r="C157" s="2" t="s">
        <v>7</v>
      </c>
      <c r="D157" s="2" t="s">
        <v>25</v>
      </c>
      <c r="E157" s="2">
        <v>10</v>
      </c>
      <c r="F157" s="8">
        <v>479464</v>
      </c>
      <c r="G157" s="11">
        <v>0</v>
      </c>
      <c r="H157" s="17" t="str">
        <f>IF(tbl_Ventas[[#This Row],[Cantidad]]&gt;=10,"Venta Alta","Venta Normal")</f>
        <v>Venta Alta</v>
      </c>
    </row>
    <row r="158" spans="1:8" ht="15.75" customHeight="1" x14ac:dyDescent="0.3">
      <c r="A158" s="1">
        <v>46025</v>
      </c>
      <c r="B158" s="2" t="s">
        <v>195</v>
      </c>
      <c r="C158" s="2" t="s">
        <v>12</v>
      </c>
      <c r="D158" s="2" t="s">
        <v>51</v>
      </c>
      <c r="E158" s="2">
        <v>3</v>
      </c>
      <c r="F158" s="8">
        <v>473935</v>
      </c>
      <c r="G158" s="10">
        <v>0.06</v>
      </c>
      <c r="H158" s="18" t="str">
        <f>IF(tbl_Ventas[[#This Row],[Cantidad]]&gt;=10,"Venta Alta","Venta Normal")</f>
        <v>Venta Normal</v>
      </c>
    </row>
    <row r="159" spans="1:8" ht="15.75" customHeight="1" x14ac:dyDescent="0.3">
      <c r="A159" s="1">
        <v>46025</v>
      </c>
      <c r="B159" s="2" t="s">
        <v>196</v>
      </c>
      <c r="C159" s="2" t="s">
        <v>33</v>
      </c>
      <c r="D159" s="2" t="s">
        <v>51</v>
      </c>
      <c r="E159" s="2">
        <v>4</v>
      </c>
      <c r="F159" s="8">
        <v>199879</v>
      </c>
      <c r="G159" s="11">
        <v>0</v>
      </c>
      <c r="H159" s="17" t="str">
        <f>IF(tbl_Ventas[[#This Row],[Cantidad]]&gt;=10,"Venta Alta","Venta Normal")</f>
        <v>Venta Normal</v>
      </c>
    </row>
    <row r="160" spans="1:8" ht="15.75" customHeight="1" x14ac:dyDescent="0.3">
      <c r="A160" s="1">
        <v>46025</v>
      </c>
      <c r="B160" s="2" t="s">
        <v>197</v>
      </c>
      <c r="C160" s="2" t="s">
        <v>33</v>
      </c>
      <c r="D160" s="2" t="s">
        <v>13</v>
      </c>
      <c r="E160" s="2">
        <v>8</v>
      </c>
      <c r="F160" s="8">
        <v>210268</v>
      </c>
      <c r="G160" s="11">
        <v>0</v>
      </c>
      <c r="H160" s="17" t="str">
        <f>IF(tbl_Ventas[[#This Row],[Cantidad]]&gt;=10,"Venta Alta","Venta Normal")</f>
        <v>Venta Normal</v>
      </c>
    </row>
    <row r="161" spans="1:8" ht="15.75" customHeight="1" x14ac:dyDescent="0.3">
      <c r="A161" s="1">
        <v>46025</v>
      </c>
      <c r="B161" s="2" t="s">
        <v>198</v>
      </c>
      <c r="C161" s="2" t="s">
        <v>16</v>
      </c>
      <c r="D161" s="2" t="s">
        <v>51</v>
      </c>
      <c r="E161" s="2">
        <v>7</v>
      </c>
      <c r="F161" s="8">
        <v>378861</v>
      </c>
      <c r="G161" s="10">
        <v>0.08</v>
      </c>
      <c r="H161" s="18" t="str">
        <f>IF(tbl_Ventas[[#This Row],[Cantidad]]&gt;=10,"Venta Alta","Venta Normal")</f>
        <v>Venta Normal</v>
      </c>
    </row>
    <row r="162" spans="1:8" ht="15.75" customHeight="1" x14ac:dyDescent="0.3">
      <c r="A162" s="1">
        <v>46025</v>
      </c>
      <c r="B162" s="2" t="s">
        <v>199</v>
      </c>
      <c r="C162" s="2" t="s">
        <v>16</v>
      </c>
      <c r="D162" s="2" t="s">
        <v>13</v>
      </c>
      <c r="E162" s="2">
        <v>1</v>
      </c>
      <c r="F162" s="8">
        <v>608612</v>
      </c>
      <c r="G162" s="10">
        <v>0.03</v>
      </c>
      <c r="H162" s="18" t="str">
        <f>IF(tbl_Ventas[[#This Row],[Cantidad]]&gt;=10,"Venta Alta","Venta Normal")</f>
        <v>Venta Normal</v>
      </c>
    </row>
    <row r="163" spans="1:8" ht="15.75" customHeight="1" x14ac:dyDescent="0.3">
      <c r="A163" s="1">
        <v>46025</v>
      </c>
      <c r="B163" s="2" t="s">
        <v>200</v>
      </c>
      <c r="C163" s="2" t="s">
        <v>33</v>
      </c>
      <c r="D163" s="2" t="s">
        <v>17</v>
      </c>
      <c r="E163" s="2">
        <v>3</v>
      </c>
      <c r="F163" s="8">
        <v>831505</v>
      </c>
      <c r="G163" s="11">
        <v>0</v>
      </c>
      <c r="H163" s="17" t="str">
        <f>IF(tbl_Ventas[[#This Row],[Cantidad]]&gt;=10,"Venta Alta","Venta Normal")</f>
        <v>Venta Normal</v>
      </c>
    </row>
    <row r="164" spans="1:8" ht="15.75" customHeight="1" x14ac:dyDescent="0.3">
      <c r="A164" s="1">
        <v>46025</v>
      </c>
      <c r="B164" s="2" t="s">
        <v>201</v>
      </c>
      <c r="C164" s="2" t="s">
        <v>1</v>
      </c>
      <c r="D164" s="2" t="s">
        <v>2</v>
      </c>
      <c r="E164" s="2">
        <v>12</v>
      </c>
      <c r="F164" s="8">
        <v>396097</v>
      </c>
      <c r="G164" s="10">
        <v>0.11</v>
      </c>
      <c r="H164" s="18" t="str">
        <f>IF(tbl_Ventas[[#This Row],[Cantidad]]&gt;=10,"Venta Alta","Venta Normal")</f>
        <v>Venta Alta</v>
      </c>
    </row>
    <row r="165" spans="1:8" ht="15.75" customHeight="1" x14ac:dyDescent="0.3">
      <c r="A165" s="1">
        <v>46025</v>
      </c>
      <c r="B165" s="2" t="s">
        <v>202</v>
      </c>
      <c r="C165" s="2" t="s">
        <v>1</v>
      </c>
      <c r="D165" s="2" t="s">
        <v>2</v>
      </c>
      <c r="E165" s="2">
        <v>6</v>
      </c>
      <c r="F165" s="8">
        <v>746235</v>
      </c>
      <c r="G165" s="10">
        <v>0.03</v>
      </c>
      <c r="H165" s="18" t="str">
        <f>IF(tbl_Ventas[[#This Row],[Cantidad]]&gt;=10,"Venta Alta","Venta Normal")</f>
        <v>Venta Normal</v>
      </c>
    </row>
    <row r="166" spans="1:8" ht="15.75" customHeight="1" x14ac:dyDescent="0.3">
      <c r="A166" s="1">
        <v>46025</v>
      </c>
      <c r="B166" s="2" t="s">
        <v>203</v>
      </c>
      <c r="C166" s="2" t="s">
        <v>7</v>
      </c>
      <c r="D166" s="2" t="s">
        <v>17</v>
      </c>
      <c r="E166" s="2">
        <v>6</v>
      </c>
      <c r="F166" s="8">
        <v>363625</v>
      </c>
      <c r="G166" s="11">
        <v>0</v>
      </c>
      <c r="H166" s="17" t="str">
        <f>IF(tbl_Ventas[[#This Row],[Cantidad]]&gt;=10,"Venta Alta","Venta Normal")</f>
        <v>Venta Normal</v>
      </c>
    </row>
    <row r="167" spans="1:8" ht="15.75" customHeight="1" x14ac:dyDescent="0.3">
      <c r="A167" s="1">
        <v>46025</v>
      </c>
      <c r="B167" s="2" t="s">
        <v>204</v>
      </c>
      <c r="C167" s="2" t="s">
        <v>7</v>
      </c>
      <c r="D167" s="2" t="s">
        <v>51</v>
      </c>
      <c r="E167" s="2">
        <v>2</v>
      </c>
      <c r="F167" s="8">
        <v>737785</v>
      </c>
      <c r="G167" s="10">
        <v>0.05</v>
      </c>
      <c r="H167" s="18" t="str">
        <f>IF(tbl_Ventas[[#This Row],[Cantidad]]&gt;=10,"Venta Alta","Venta Normal")</f>
        <v>Venta Normal</v>
      </c>
    </row>
    <row r="168" spans="1:8" ht="15.75" customHeight="1" x14ac:dyDescent="0.3">
      <c r="A168" s="1">
        <v>46025</v>
      </c>
      <c r="B168" s="2" t="s">
        <v>205</v>
      </c>
      <c r="C168" s="2" t="s">
        <v>16</v>
      </c>
      <c r="D168" s="2" t="s">
        <v>25</v>
      </c>
      <c r="E168" s="2">
        <v>1</v>
      </c>
      <c r="F168" s="8">
        <v>789433</v>
      </c>
      <c r="G168" s="10">
        <v>0.05</v>
      </c>
      <c r="H168" s="18" t="str">
        <f>IF(tbl_Ventas[[#This Row],[Cantidad]]&gt;=10,"Venta Alta","Venta Normal")</f>
        <v>Venta Normal</v>
      </c>
    </row>
    <row r="169" spans="1:8" ht="15.75" customHeight="1" x14ac:dyDescent="0.3">
      <c r="A169" s="1">
        <v>46025</v>
      </c>
      <c r="B169" s="2" t="s">
        <v>206</v>
      </c>
      <c r="C169" s="2" t="s">
        <v>1</v>
      </c>
      <c r="D169" s="2" t="s">
        <v>13</v>
      </c>
      <c r="E169" s="2">
        <v>11</v>
      </c>
      <c r="F169" s="8">
        <v>53057</v>
      </c>
      <c r="G169" s="10">
        <v>0.05</v>
      </c>
      <c r="H169" s="18" t="str">
        <f>IF(tbl_Ventas[[#This Row],[Cantidad]]&gt;=10,"Venta Alta","Venta Normal")</f>
        <v>Venta Alta</v>
      </c>
    </row>
    <row r="170" spans="1:8" ht="15.75" customHeight="1" x14ac:dyDescent="0.3">
      <c r="A170" s="1">
        <v>46025</v>
      </c>
      <c r="B170" s="2" t="s">
        <v>207</v>
      </c>
      <c r="C170" s="2" t="s">
        <v>7</v>
      </c>
      <c r="D170" s="2" t="s">
        <v>17</v>
      </c>
      <c r="E170" s="2">
        <v>6</v>
      </c>
      <c r="F170" s="8">
        <v>111060</v>
      </c>
      <c r="G170" s="10">
        <v>0.05</v>
      </c>
      <c r="H170" s="18" t="str">
        <f>IF(tbl_Ventas[[#This Row],[Cantidad]]&gt;=10,"Venta Alta","Venta Normal")</f>
        <v>Venta Normal</v>
      </c>
    </row>
    <row r="171" spans="1:8" ht="15.75" customHeight="1" x14ac:dyDescent="0.3">
      <c r="A171" s="1">
        <v>46025</v>
      </c>
      <c r="B171" s="2" t="s">
        <v>208</v>
      </c>
      <c r="C171" s="2" t="s">
        <v>33</v>
      </c>
      <c r="D171" s="2" t="s">
        <v>25</v>
      </c>
      <c r="E171" s="2">
        <v>8</v>
      </c>
      <c r="F171" s="8">
        <v>112895</v>
      </c>
      <c r="G171" s="11">
        <v>0</v>
      </c>
      <c r="H171" s="17" t="str">
        <f>IF(tbl_Ventas[[#This Row],[Cantidad]]&gt;=10,"Venta Alta","Venta Normal")</f>
        <v>Venta Normal</v>
      </c>
    </row>
    <row r="172" spans="1:8" ht="15.75" customHeight="1" x14ac:dyDescent="0.3">
      <c r="A172" s="1">
        <v>46025</v>
      </c>
      <c r="B172" s="2" t="s">
        <v>209</v>
      </c>
      <c r="C172" s="2" t="s">
        <v>22</v>
      </c>
      <c r="D172" s="2" t="s">
        <v>17</v>
      </c>
      <c r="E172" s="2">
        <v>6</v>
      </c>
      <c r="F172" s="8">
        <v>478738</v>
      </c>
      <c r="G172" s="10">
        <v>0.15</v>
      </c>
      <c r="H172" s="18" t="str">
        <f>IF(tbl_Ventas[[#This Row],[Cantidad]]&gt;=10,"Venta Alta","Venta Normal")</f>
        <v>Venta Normal</v>
      </c>
    </row>
    <row r="173" spans="1:8" ht="15.75" customHeight="1" x14ac:dyDescent="0.3">
      <c r="A173" s="1">
        <v>46025</v>
      </c>
      <c r="B173" s="2" t="s">
        <v>210</v>
      </c>
      <c r="C173" s="2" t="s">
        <v>7</v>
      </c>
      <c r="D173" s="2" t="s">
        <v>2</v>
      </c>
      <c r="E173" s="2">
        <v>6</v>
      </c>
      <c r="F173" s="8">
        <v>770814</v>
      </c>
      <c r="G173" s="10">
        <v>0.03</v>
      </c>
      <c r="H173" s="18" t="str">
        <f>IF(tbl_Ventas[[#This Row],[Cantidad]]&gt;=10,"Venta Alta","Venta Normal")</f>
        <v>Venta Normal</v>
      </c>
    </row>
    <row r="174" spans="1:8" ht="15.75" customHeight="1" x14ac:dyDescent="0.3">
      <c r="A174" s="1">
        <v>46025</v>
      </c>
      <c r="B174" s="2" t="s">
        <v>211</v>
      </c>
      <c r="C174" s="2" t="s">
        <v>22</v>
      </c>
      <c r="D174" s="2" t="s">
        <v>17</v>
      </c>
      <c r="E174" s="2">
        <v>4</v>
      </c>
      <c r="F174" s="8">
        <v>763369</v>
      </c>
      <c r="G174" s="10">
        <v>0.09</v>
      </c>
      <c r="H174" s="18" t="str">
        <f>IF(tbl_Ventas[[#This Row],[Cantidad]]&gt;=10,"Venta Alta","Venta Normal")</f>
        <v>Venta Normal</v>
      </c>
    </row>
    <row r="175" spans="1:8" ht="15.75" customHeight="1" x14ac:dyDescent="0.3">
      <c r="A175" s="1">
        <v>46025</v>
      </c>
      <c r="B175" s="2" t="s">
        <v>212</v>
      </c>
      <c r="C175" s="2" t="s">
        <v>5</v>
      </c>
      <c r="D175" s="2" t="s">
        <v>17</v>
      </c>
      <c r="E175" s="2">
        <v>5</v>
      </c>
      <c r="F175" s="8">
        <v>621949</v>
      </c>
      <c r="G175" s="10">
        <v>7.0000000000000007E-2</v>
      </c>
      <c r="H175" s="18" t="str">
        <f>IF(tbl_Ventas[[#This Row],[Cantidad]]&gt;=10,"Venta Alta","Venta Normal")</f>
        <v>Venta Normal</v>
      </c>
    </row>
    <row r="176" spans="1:8" ht="15.75" customHeight="1" x14ac:dyDescent="0.3">
      <c r="A176" s="1">
        <v>46025</v>
      </c>
      <c r="B176" s="2" t="s">
        <v>213</v>
      </c>
      <c r="C176" s="2" t="s">
        <v>33</v>
      </c>
      <c r="D176" s="2" t="s">
        <v>51</v>
      </c>
      <c r="E176" s="2">
        <v>2</v>
      </c>
      <c r="F176" s="8">
        <v>679243</v>
      </c>
      <c r="G176" s="11">
        <v>0</v>
      </c>
      <c r="H176" s="17" t="str">
        <f>IF(tbl_Ventas[[#This Row],[Cantidad]]&gt;=10,"Venta Alta","Venta Normal")</f>
        <v>Venta Normal</v>
      </c>
    </row>
    <row r="177" spans="1:8" ht="15.75" customHeight="1" x14ac:dyDescent="0.3">
      <c r="A177" s="1">
        <v>46025</v>
      </c>
      <c r="B177" s="2" t="s">
        <v>214</v>
      </c>
      <c r="C177" s="2" t="s">
        <v>22</v>
      </c>
      <c r="D177" s="2" t="s">
        <v>25</v>
      </c>
      <c r="E177" s="2">
        <v>10</v>
      </c>
      <c r="F177" s="8">
        <v>262066</v>
      </c>
      <c r="G177" s="11">
        <v>0</v>
      </c>
      <c r="H177" s="17" t="str">
        <f>IF(tbl_Ventas[[#This Row],[Cantidad]]&gt;=10,"Venta Alta","Venta Normal")</f>
        <v>Venta Alta</v>
      </c>
    </row>
    <row r="178" spans="1:8" ht="15.75" customHeight="1" x14ac:dyDescent="0.3">
      <c r="A178" s="1">
        <v>46025</v>
      </c>
      <c r="B178" s="2" t="s">
        <v>215</v>
      </c>
      <c r="C178" s="2" t="s">
        <v>7</v>
      </c>
      <c r="D178" s="2" t="s">
        <v>25</v>
      </c>
      <c r="E178" s="2">
        <v>7</v>
      </c>
      <c r="F178" s="8">
        <v>197725</v>
      </c>
      <c r="G178" s="11">
        <v>0</v>
      </c>
      <c r="H178" s="17" t="str">
        <f>IF(tbl_Ventas[[#This Row],[Cantidad]]&gt;=10,"Venta Alta","Venta Normal")</f>
        <v>Venta Normal</v>
      </c>
    </row>
    <row r="179" spans="1:8" ht="15.75" customHeight="1" x14ac:dyDescent="0.3">
      <c r="A179" s="1">
        <v>46025</v>
      </c>
      <c r="B179" s="2" t="s">
        <v>216</v>
      </c>
      <c r="C179" s="2" t="s">
        <v>1</v>
      </c>
      <c r="D179" s="2" t="s">
        <v>51</v>
      </c>
      <c r="E179" s="2">
        <v>6</v>
      </c>
      <c r="F179" s="8">
        <v>739939</v>
      </c>
      <c r="G179" s="10">
        <v>0.13</v>
      </c>
      <c r="H179" s="18" t="str">
        <f>IF(tbl_Ventas[[#This Row],[Cantidad]]&gt;=10,"Venta Alta","Venta Normal")</f>
        <v>Venta Normal</v>
      </c>
    </row>
    <row r="180" spans="1:8" ht="15.75" customHeight="1" x14ac:dyDescent="0.3">
      <c r="A180" s="1">
        <v>46026</v>
      </c>
      <c r="B180" s="2" t="s">
        <v>217</v>
      </c>
      <c r="C180" s="2" t="s">
        <v>16</v>
      </c>
      <c r="D180" s="2" t="s">
        <v>2</v>
      </c>
      <c r="E180" s="2">
        <v>12</v>
      </c>
      <c r="F180" s="8">
        <v>483136</v>
      </c>
      <c r="G180" s="10">
        <v>0.11</v>
      </c>
      <c r="H180" s="18" t="str">
        <f>IF(tbl_Ventas[[#This Row],[Cantidad]]&gt;=10,"Venta Alta","Venta Normal")</f>
        <v>Venta Alta</v>
      </c>
    </row>
    <row r="181" spans="1:8" ht="15.75" customHeight="1" x14ac:dyDescent="0.3">
      <c r="A181" s="1">
        <v>46026</v>
      </c>
      <c r="B181" s="2" t="s">
        <v>218</v>
      </c>
      <c r="C181" s="2" t="s">
        <v>12</v>
      </c>
      <c r="D181" s="2" t="s">
        <v>17</v>
      </c>
      <c r="E181" s="2">
        <v>12</v>
      </c>
      <c r="F181" s="8">
        <v>738291</v>
      </c>
      <c r="G181" s="11">
        <v>0</v>
      </c>
      <c r="H181" s="17" t="str">
        <f>IF(tbl_Ventas[[#This Row],[Cantidad]]&gt;=10,"Venta Alta","Venta Normal")</f>
        <v>Venta Alta</v>
      </c>
    </row>
    <row r="182" spans="1:8" ht="15.75" customHeight="1" x14ac:dyDescent="0.3">
      <c r="A182" s="1">
        <v>46026</v>
      </c>
      <c r="B182" s="2" t="s">
        <v>219</v>
      </c>
      <c r="C182" s="2" t="s">
        <v>5</v>
      </c>
      <c r="D182" s="2" t="s">
        <v>51</v>
      </c>
      <c r="E182" s="2">
        <v>9</v>
      </c>
      <c r="F182" s="8">
        <v>648386</v>
      </c>
      <c r="G182" s="11">
        <v>0</v>
      </c>
      <c r="H182" s="17" t="str">
        <f>IF(tbl_Ventas[[#This Row],[Cantidad]]&gt;=10,"Venta Alta","Venta Normal")</f>
        <v>Venta Normal</v>
      </c>
    </row>
    <row r="183" spans="1:8" ht="15.75" customHeight="1" x14ac:dyDescent="0.3">
      <c r="A183" s="1">
        <v>46026</v>
      </c>
      <c r="B183" s="2" t="s">
        <v>220</v>
      </c>
      <c r="C183" s="2" t="s">
        <v>5</v>
      </c>
      <c r="D183" s="2" t="s">
        <v>2</v>
      </c>
      <c r="E183" s="2">
        <v>12</v>
      </c>
      <c r="F183" s="8">
        <v>516459</v>
      </c>
      <c r="G183" s="10">
        <v>7.0000000000000007E-2</v>
      </c>
      <c r="H183" s="18" t="str">
        <f>IF(tbl_Ventas[[#This Row],[Cantidad]]&gt;=10,"Venta Alta","Venta Normal")</f>
        <v>Venta Alta</v>
      </c>
    </row>
    <row r="184" spans="1:8" ht="15.75" customHeight="1" x14ac:dyDescent="0.3">
      <c r="A184" s="1">
        <v>46026</v>
      </c>
      <c r="B184" s="2" t="s">
        <v>221</v>
      </c>
      <c r="C184" s="2" t="s">
        <v>22</v>
      </c>
      <c r="D184" s="2" t="s">
        <v>13</v>
      </c>
      <c r="E184" s="2">
        <v>8</v>
      </c>
      <c r="F184" s="8">
        <v>188592</v>
      </c>
      <c r="G184" s="10">
        <v>0.13</v>
      </c>
      <c r="H184" s="18" t="str">
        <f>IF(tbl_Ventas[[#This Row],[Cantidad]]&gt;=10,"Venta Alta","Venta Normal")</f>
        <v>Venta Normal</v>
      </c>
    </row>
    <row r="185" spans="1:8" ht="15.75" customHeight="1" x14ac:dyDescent="0.3">
      <c r="A185" s="1">
        <v>46026</v>
      </c>
      <c r="B185" s="2" t="s">
        <v>222</v>
      </c>
      <c r="C185" s="2" t="s">
        <v>1</v>
      </c>
      <c r="D185" s="2" t="s">
        <v>51</v>
      </c>
      <c r="E185" s="2">
        <v>11</v>
      </c>
      <c r="F185" s="8">
        <v>523863</v>
      </c>
      <c r="G185" s="11">
        <v>0</v>
      </c>
      <c r="H185" s="17" t="str">
        <f>IF(tbl_Ventas[[#This Row],[Cantidad]]&gt;=10,"Venta Alta","Venta Normal")</f>
        <v>Venta Alta</v>
      </c>
    </row>
    <row r="186" spans="1:8" ht="15.75" customHeight="1" x14ac:dyDescent="0.3">
      <c r="A186" s="1">
        <v>46026</v>
      </c>
      <c r="B186" s="2" t="s">
        <v>223</v>
      </c>
      <c r="C186" s="2" t="s">
        <v>71</v>
      </c>
      <c r="D186" s="2" t="s">
        <v>13</v>
      </c>
      <c r="E186" s="2">
        <v>4</v>
      </c>
      <c r="F186" s="8">
        <v>379946</v>
      </c>
      <c r="G186" s="10">
        <v>0.04</v>
      </c>
      <c r="H186" s="18" t="str">
        <f>IF(tbl_Ventas[[#This Row],[Cantidad]]&gt;=10,"Venta Alta","Venta Normal")</f>
        <v>Venta Normal</v>
      </c>
    </row>
    <row r="187" spans="1:8" ht="15.75" customHeight="1" x14ac:dyDescent="0.3">
      <c r="A187" s="1">
        <v>46026</v>
      </c>
      <c r="B187" s="2" t="s">
        <v>224</v>
      </c>
      <c r="C187" s="2" t="s">
        <v>71</v>
      </c>
      <c r="D187" s="2" t="s">
        <v>51</v>
      </c>
      <c r="E187" s="2">
        <v>9</v>
      </c>
      <c r="F187" s="8">
        <v>434937</v>
      </c>
      <c r="G187" s="11">
        <v>0</v>
      </c>
      <c r="H187" s="17" t="str">
        <f>IF(tbl_Ventas[[#This Row],[Cantidad]]&gt;=10,"Venta Alta","Venta Normal")</f>
        <v>Venta Normal</v>
      </c>
    </row>
    <row r="188" spans="1:8" ht="15.75" customHeight="1" x14ac:dyDescent="0.3">
      <c r="A188" s="1">
        <v>46026</v>
      </c>
      <c r="B188" s="2" t="s">
        <v>225</v>
      </c>
      <c r="C188" s="2" t="s">
        <v>16</v>
      </c>
      <c r="D188" s="2" t="s">
        <v>13</v>
      </c>
      <c r="E188" s="2">
        <v>7</v>
      </c>
      <c r="F188" s="8">
        <v>314053</v>
      </c>
      <c r="G188" s="11">
        <v>0</v>
      </c>
      <c r="H188" s="17" t="str">
        <f>IF(tbl_Ventas[[#This Row],[Cantidad]]&gt;=10,"Venta Alta","Venta Normal")</f>
        <v>Venta Normal</v>
      </c>
    </row>
    <row r="189" spans="1:8" ht="15.75" customHeight="1" x14ac:dyDescent="0.3">
      <c r="A189" s="1">
        <v>46026</v>
      </c>
      <c r="B189" s="2" t="s">
        <v>226</v>
      </c>
      <c r="C189" s="2" t="s">
        <v>22</v>
      </c>
      <c r="D189" s="2" t="s">
        <v>51</v>
      </c>
      <c r="E189" s="2">
        <v>8</v>
      </c>
      <c r="F189" s="8">
        <v>437776</v>
      </c>
      <c r="G189" s="10">
        <v>0.03</v>
      </c>
      <c r="H189" s="18" t="str">
        <f>IF(tbl_Ventas[[#This Row],[Cantidad]]&gt;=10,"Venta Alta","Venta Normal")</f>
        <v>Venta Normal</v>
      </c>
    </row>
    <row r="190" spans="1:8" ht="15.75" customHeight="1" x14ac:dyDescent="0.3">
      <c r="A190" s="1">
        <v>46026</v>
      </c>
      <c r="B190" s="2" t="s">
        <v>227</v>
      </c>
      <c r="C190" s="2" t="s">
        <v>33</v>
      </c>
      <c r="D190" s="2" t="s">
        <v>25</v>
      </c>
      <c r="E190" s="2">
        <v>5</v>
      </c>
      <c r="F190" s="8">
        <v>254611</v>
      </c>
      <c r="G190" s="11">
        <v>0</v>
      </c>
      <c r="H190" s="17" t="str">
        <f>IF(tbl_Ventas[[#This Row],[Cantidad]]&gt;=10,"Venta Alta","Venta Normal")</f>
        <v>Venta Normal</v>
      </c>
    </row>
    <row r="191" spans="1:8" ht="15.75" customHeight="1" x14ac:dyDescent="0.3">
      <c r="A191" s="1">
        <v>46026</v>
      </c>
      <c r="B191" s="2" t="s">
        <v>228</v>
      </c>
      <c r="C191" s="2" t="s">
        <v>22</v>
      </c>
      <c r="D191" s="2" t="s">
        <v>13</v>
      </c>
      <c r="E191" s="2">
        <v>3</v>
      </c>
      <c r="F191" s="8">
        <v>466538</v>
      </c>
      <c r="G191" s="10">
        <v>0.12</v>
      </c>
      <c r="H191" s="18" t="str">
        <f>IF(tbl_Ventas[[#This Row],[Cantidad]]&gt;=10,"Venta Alta","Venta Normal")</f>
        <v>Venta Normal</v>
      </c>
    </row>
    <row r="192" spans="1:8" ht="15.75" customHeight="1" x14ac:dyDescent="0.3">
      <c r="A192" s="1">
        <v>46026</v>
      </c>
      <c r="B192" s="2" t="s">
        <v>229</v>
      </c>
      <c r="C192" s="2" t="s">
        <v>7</v>
      </c>
      <c r="D192" s="2" t="s">
        <v>17</v>
      </c>
      <c r="E192" s="2">
        <v>5</v>
      </c>
      <c r="F192" s="8">
        <v>325352</v>
      </c>
      <c r="G192" s="10">
        <v>0.11</v>
      </c>
      <c r="H192" s="18" t="str">
        <f>IF(tbl_Ventas[[#This Row],[Cantidad]]&gt;=10,"Venta Alta","Venta Normal")</f>
        <v>Venta Normal</v>
      </c>
    </row>
    <row r="193" spans="1:8" ht="15.75" customHeight="1" x14ac:dyDescent="0.3">
      <c r="A193" s="1">
        <v>46026</v>
      </c>
      <c r="B193" s="2" t="s">
        <v>230</v>
      </c>
      <c r="C193" s="2" t="s">
        <v>1</v>
      </c>
      <c r="D193" s="2" t="s">
        <v>13</v>
      </c>
      <c r="E193" s="2">
        <v>11</v>
      </c>
      <c r="F193" s="8">
        <v>576308</v>
      </c>
      <c r="G193" s="10">
        <v>0.03</v>
      </c>
      <c r="H193" s="18" t="str">
        <f>IF(tbl_Ventas[[#This Row],[Cantidad]]&gt;=10,"Venta Alta","Venta Normal")</f>
        <v>Venta Alta</v>
      </c>
    </row>
    <row r="194" spans="1:8" ht="15.75" customHeight="1" x14ac:dyDescent="0.3">
      <c r="A194" s="1">
        <v>46026</v>
      </c>
      <c r="B194" s="2" t="s">
        <v>231</v>
      </c>
      <c r="C194" s="2" t="s">
        <v>7</v>
      </c>
      <c r="D194" s="2" t="s">
        <v>25</v>
      </c>
      <c r="E194" s="2">
        <v>1</v>
      </c>
      <c r="F194" s="8">
        <v>466792</v>
      </c>
      <c r="G194" s="10">
        <v>0.03</v>
      </c>
      <c r="H194" s="18" t="str">
        <f>IF(tbl_Ventas[[#This Row],[Cantidad]]&gt;=10,"Venta Alta","Venta Normal")</f>
        <v>Venta Normal</v>
      </c>
    </row>
    <row r="195" spans="1:8" ht="15.75" customHeight="1" x14ac:dyDescent="0.3">
      <c r="A195" s="1">
        <v>46026</v>
      </c>
      <c r="B195" s="2" t="s">
        <v>232</v>
      </c>
      <c r="C195" s="2" t="s">
        <v>1</v>
      </c>
      <c r="D195" s="2" t="s">
        <v>25</v>
      </c>
      <c r="E195" s="2">
        <v>10</v>
      </c>
      <c r="F195" s="8">
        <v>433877</v>
      </c>
      <c r="G195" s="10">
        <v>0.05</v>
      </c>
      <c r="H195" s="18" t="str">
        <f>IF(tbl_Ventas[[#This Row],[Cantidad]]&gt;=10,"Venta Alta","Venta Normal")</f>
        <v>Venta Alta</v>
      </c>
    </row>
    <row r="196" spans="1:8" ht="15.75" customHeight="1" x14ac:dyDescent="0.3">
      <c r="A196" s="1">
        <v>46026</v>
      </c>
      <c r="B196" s="2" t="s">
        <v>233</v>
      </c>
      <c r="C196" s="2" t="s">
        <v>7</v>
      </c>
      <c r="D196" s="2" t="s">
        <v>13</v>
      </c>
      <c r="E196" s="2">
        <v>6</v>
      </c>
      <c r="F196" s="8">
        <v>407742</v>
      </c>
      <c r="G196" s="11">
        <v>0</v>
      </c>
      <c r="H196" s="17" t="str">
        <f>IF(tbl_Ventas[[#This Row],[Cantidad]]&gt;=10,"Venta Alta","Venta Normal")</f>
        <v>Venta Normal</v>
      </c>
    </row>
    <row r="197" spans="1:8" ht="15.75" customHeight="1" x14ac:dyDescent="0.3">
      <c r="A197" s="1">
        <v>46026</v>
      </c>
      <c r="B197" s="2" t="s">
        <v>234</v>
      </c>
      <c r="C197" s="2" t="s">
        <v>7</v>
      </c>
      <c r="D197" s="2" t="s">
        <v>2</v>
      </c>
      <c r="E197" s="2">
        <v>6</v>
      </c>
      <c r="F197" s="8">
        <v>728286</v>
      </c>
      <c r="G197" s="10">
        <v>0.04</v>
      </c>
      <c r="H197" s="18" t="str">
        <f>IF(tbl_Ventas[[#This Row],[Cantidad]]&gt;=10,"Venta Alta","Venta Normal")</f>
        <v>Venta Normal</v>
      </c>
    </row>
    <row r="198" spans="1:8" ht="15.75" customHeight="1" x14ac:dyDescent="0.3">
      <c r="A198" s="1">
        <v>46026</v>
      </c>
      <c r="B198" s="2" t="s">
        <v>235</v>
      </c>
      <c r="C198" s="2" t="s">
        <v>22</v>
      </c>
      <c r="D198" s="2" t="s">
        <v>25</v>
      </c>
      <c r="E198" s="2">
        <v>5</v>
      </c>
      <c r="F198" s="8">
        <v>398672</v>
      </c>
      <c r="G198" s="10">
        <v>0.14000000000000001</v>
      </c>
      <c r="H198" s="18" t="str">
        <f>IF(tbl_Ventas[[#This Row],[Cantidad]]&gt;=10,"Venta Alta","Venta Normal")</f>
        <v>Venta Normal</v>
      </c>
    </row>
    <row r="199" spans="1:8" ht="15.75" customHeight="1" x14ac:dyDescent="0.3">
      <c r="A199" s="1">
        <v>46026</v>
      </c>
      <c r="B199" s="2" t="s">
        <v>236</v>
      </c>
      <c r="C199" s="2" t="s">
        <v>33</v>
      </c>
      <c r="D199" s="2" t="s">
        <v>25</v>
      </c>
      <c r="E199" s="2">
        <v>2</v>
      </c>
      <c r="F199" s="8">
        <v>476775</v>
      </c>
      <c r="G199" s="10">
        <v>0.03</v>
      </c>
      <c r="H199" s="18" t="str">
        <f>IF(tbl_Ventas[[#This Row],[Cantidad]]&gt;=10,"Venta Alta","Venta Normal")</f>
        <v>Venta Normal</v>
      </c>
    </row>
    <row r="200" spans="1:8" ht="15.75" customHeight="1" x14ac:dyDescent="0.3">
      <c r="A200" s="1">
        <v>46026</v>
      </c>
      <c r="B200" s="2" t="s">
        <v>237</v>
      </c>
      <c r="C200" s="2" t="s">
        <v>33</v>
      </c>
      <c r="D200" s="2" t="s">
        <v>13</v>
      </c>
      <c r="E200" s="2">
        <v>8</v>
      </c>
      <c r="F200" s="8">
        <v>247510</v>
      </c>
      <c r="G200" s="10">
        <v>0.1</v>
      </c>
      <c r="H200" s="18" t="str">
        <f>IF(tbl_Ventas[[#This Row],[Cantidad]]&gt;=10,"Venta Alta","Venta Normal")</f>
        <v>Venta Normal</v>
      </c>
    </row>
    <row r="201" spans="1:8" ht="15.75" customHeight="1" x14ac:dyDescent="0.3">
      <c r="A201" s="1">
        <v>46026</v>
      </c>
      <c r="B201" s="2" t="s">
        <v>238</v>
      </c>
      <c r="C201" s="2" t="s">
        <v>7</v>
      </c>
      <c r="D201" s="2" t="s">
        <v>17</v>
      </c>
      <c r="E201" s="2">
        <v>11</v>
      </c>
      <c r="F201" s="8">
        <v>502590</v>
      </c>
      <c r="G201" s="10">
        <v>0.08</v>
      </c>
      <c r="H201" s="18" t="str">
        <f>IF(tbl_Ventas[[#This Row],[Cantidad]]&gt;=10,"Venta Alta","Venta Normal")</f>
        <v>Venta Alta</v>
      </c>
    </row>
    <row r="202" spans="1:8" ht="15.75" customHeight="1" x14ac:dyDescent="0.3">
      <c r="A202" s="1">
        <v>46026</v>
      </c>
      <c r="B202" s="2" t="s">
        <v>239</v>
      </c>
      <c r="C202" s="2" t="s">
        <v>1</v>
      </c>
      <c r="D202" s="2" t="s">
        <v>13</v>
      </c>
      <c r="E202" s="2">
        <v>12</v>
      </c>
      <c r="F202" s="8">
        <v>82659</v>
      </c>
      <c r="G202" s="10">
        <v>0.1</v>
      </c>
      <c r="H202" s="18" t="str">
        <f>IF(tbl_Ventas[[#This Row],[Cantidad]]&gt;=10,"Venta Alta","Venta Normal")</f>
        <v>Venta Alta</v>
      </c>
    </row>
    <row r="203" spans="1:8" ht="15.75" customHeight="1" x14ac:dyDescent="0.3">
      <c r="A203" s="1">
        <v>46026</v>
      </c>
      <c r="B203" s="2" t="s">
        <v>240</v>
      </c>
      <c r="C203" s="2" t="s">
        <v>7</v>
      </c>
      <c r="D203" s="2" t="s">
        <v>51</v>
      </c>
      <c r="E203" s="2">
        <v>11</v>
      </c>
      <c r="F203" s="8">
        <v>219947</v>
      </c>
      <c r="G203" s="10">
        <v>0.04</v>
      </c>
      <c r="H203" s="18" t="str">
        <f>IF(tbl_Ventas[[#This Row],[Cantidad]]&gt;=10,"Venta Alta","Venta Normal")</f>
        <v>Venta Alta</v>
      </c>
    </row>
    <row r="204" spans="1:8" ht="15.75" customHeight="1" x14ac:dyDescent="0.3">
      <c r="A204" s="1">
        <v>46026</v>
      </c>
      <c r="B204" s="2" t="s">
        <v>241</v>
      </c>
      <c r="C204" s="2" t="s">
        <v>71</v>
      </c>
      <c r="D204" s="2" t="s">
        <v>25</v>
      </c>
      <c r="E204" s="2">
        <v>8</v>
      </c>
      <c r="F204" s="8">
        <v>56509</v>
      </c>
      <c r="G204" s="10">
        <v>0.13</v>
      </c>
      <c r="H204" s="18" t="str">
        <f>IF(tbl_Ventas[[#This Row],[Cantidad]]&gt;=10,"Venta Alta","Venta Normal")</f>
        <v>Venta Normal</v>
      </c>
    </row>
    <row r="205" spans="1:8" ht="15.75" customHeight="1" x14ac:dyDescent="0.3">
      <c r="A205" s="1">
        <v>46026</v>
      </c>
      <c r="B205" s="2" t="s">
        <v>242</v>
      </c>
      <c r="C205" s="2" t="s">
        <v>1</v>
      </c>
      <c r="D205" s="2" t="s">
        <v>25</v>
      </c>
      <c r="E205" s="2">
        <v>3</v>
      </c>
      <c r="F205" s="8">
        <v>437061</v>
      </c>
      <c r="G205" s="10">
        <v>0.11</v>
      </c>
      <c r="H205" s="18" t="str">
        <f>IF(tbl_Ventas[[#This Row],[Cantidad]]&gt;=10,"Venta Alta","Venta Normal")</f>
        <v>Venta Normal</v>
      </c>
    </row>
    <row r="206" spans="1:8" ht="15.75" customHeight="1" x14ac:dyDescent="0.3">
      <c r="A206" s="1">
        <v>46026</v>
      </c>
      <c r="B206" s="2" t="s">
        <v>243</v>
      </c>
      <c r="C206" s="2" t="s">
        <v>71</v>
      </c>
      <c r="D206" s="2" t="s">
        <v>17</v>
      </c>
      <c r="E206" s="2">
        <v>2</v>
      </c>
      <c r="F206" s="8">
        <v>376192</v>
      </c>
      <c r="G206" s="11">
        <v>0</v>
      </c>
      <c r="H206" s="17" t="str">
        <f>IF(tbl_Ventas[[#This Row],[Cantidad]]&gt;=10,"Venta Alta","Venta Normal")</f>
        <v>Venta Normal</v>
      </c>
    </row>
    <row r="207" spans="1:8" ht="15.75" customHeight="1" x14ac:dyDescent="0.3">
      <c r="A207" s="1">
        <v>46026</v>
      </c>
      <c r="B207" s="2" t="s">
        <v>244</v>
      </c>
      <c r="C207" s="2" t="s">
        <v>22</v>
      </c>
      <c r="D207" s="2" t="s">
        <v>13</v>
      </c>
      <c r="E207" s="2">
        <v>7</v>
      </c>
      <c r="F207" s="8">
        <v>176223</v>
      </c>
      <c r="G207" s="11">
        <v>0</v>
      </c>
      <c r="H207" s="17" t="str">
        <f>IF(tbl_Ventas[[#This Row],[Cantidad]]&gt;=10,"Venta Alta","Venta Normal")</f>
        <v>Venta Normal</v>
      </c>
    </row>
    <row r="208" spans="1:8" ht="15.75" customHeight="1" x14ac:dyDescent="0.3">
      <c r="A208" s="1">
        <v>46026</v>
      </c>
      <c r="B208" s="2" t="s">
        <v>245</v>
      </c>
      <c r="C208" s="2" t="s">
        <v>7</v>
      </c>
      <c r="D208" s="2" t="s">
        <v>25</v>
      </c>
      <c r="E208" s="2">
        <v>7</v>
      </c>
      <c r="F208" s="8">
        <v>388504</v>
      </c>
      <c r="G208" s="10">
        <v>0.06</v>
      </c>
      <c r="H208" s="18" t="str">
        <f>IF(tbl_Ventas[[#This Row],[Cantidad]]&gt;=10,"Venta Alta","Venta Normal")</f>
        <v>Venta Normal</v>
      </c>
    </row>
    <row r="209" spans="1:8" ht="15.75" customHeight="1" x14ac:dyDescent="0.3">
      <c r="A209" s="1">
        <v>46026</v>
      </c>
      <c r="B209" s="2" t="s">
        <v>246</v>
      </c>
      <c r="C209" s="2" t="s">
        <v>12</v>
      </c>
      <c r="D209" s="2" t="s">
        <v>17</v>
      </c>
      <c r="E209" s="2">
        <v>7</v>
      </c>
      <c r="F209" s="8">
        <v>438164</v>
      </c>
      <c r="G209" s="10">
        <v>7.0000000000000007E-2</v>
      </c>
      <c r="H209" s="18" t="str">
        <f>IF(tbl_Ventas[[#This Row],[Cantidad]]&gt;=10,"Venta Alta","Venta Normal")</f>
        <v>Venta Normal</v>
      </c>
    </row>
    <row r="210" spans="1:8" ht="15.75" customHeight="1" x14ac:dyDescent="0.3">
      <c r="A210" s="1">
        <v>46026</v>
      </c>
      <c r="B210" s="2" t="s">
        <v>247</v>
      </c>
      <c r="C210" s="2" t="s">
        <v>12</v>
      </c>
      <c r="D210" s="2" t="s">
        <v>25</v>
      </c>
      <c r="E210" s="2">
        <v>3</v>
      </c>
      <c r="F210" s="8">
        <v>301848</v>
      </c>
      <c r="G210" s="10">
        <v>0.1</v>
      </c>
      <c r="H210" s="18" t="str">
        <f>IF(tbl_Ventas[[#This Row],[Cantidad]]&gt;=10,"Venta Alta","Venta Normal")</f>
        <v>Venta Normal</v>
      </c>
    </row>
    <row r="211" spans="1:8" ht="15.75" customHeight="1" x14ac:dyDescent="0.3">
      <c r="A211" s="1">
        <v>46026</v>
      </c>
      <c r="B211" s="2" t="s">
        <v>248</v>
      </c>
      <c r="C211" s="2" t="s">
        <v>33</v>
      </c>
      <c r="D211" s="2" t="s">
        <v>51</v>
      </c>
      <c r="E211" s="2">
        <v>2</v>
      </c>
      <c r="F211" s="8">
        <v>264783</v>
      </c>
      <c r="G211" s="11">
        <v>0</v>
      </c>
      <c r="H211" s="17" t="str">
        <f>IF(tbl_Ventas[[#This Row],[Cantidad]]&gt;=10,"Venta Alta","Venta Normal")</f>
        <v>Venta Normal</v>
      </c>
    </row>
    <row r="212" spans="1:8" ht="15.75" customHeight="1" x14ac:dyDescent="0.3">
      <c r="A212" s="1">
        <v>46026</v>
      </c>
      <c r="B212" s="2" t="s">
        <v>249</v>
      </c>
      <c r="C212" s="2" t="s">
        <v>5</v>
      </c>
      <c r="D212" s="2" t="s">
        <v>13</v>
      </c>
      <c r="E212" s="2">
        <v>6</v>
      </c>
      <c r="F212" s="8">
        <v>367589</v>
      </c>
      <c r="G212" s="10">
        <v>0.08</v>
      </c>
      <c r="H212" s="18" t="str">
        <f>IF(tbl_Ventas[[#This Row],[Cantidad]]&gt;=10,"Venta Alta","Venta Normal")</f>
        <v>Venta Normal</v>
      </c>
    </row>
    <row r="213" spans="1:8" ht="15.75" customHeight="1" x14ac:dyDescent="0.3">
      <c r="A213" s="1">
        <v>46026</v>
      </c>
      <c r="B213" s="2" t="s">
        <v>250</v>
      </c>
      <c r="C213" s="2" t="s">
        <v>71</v>
      </c>
      <c r="D213" s="2" t="s">
        <v>13</v>
      </c>
      <c r="E213" s="2">
        <v>4</v>
      </c>
      <c r="F213" s="8">
        <v>736784</v>
      </c>
      <c r="G213" s="10">
        <v>0.1</v>
      </c>
      <c r="H213" s="18" t="str">
        <f>IF(tbl_Ventas[[#This Row],[Cantidad]]&gt;=10,"Venta Alta","Venta Normal")</f>
        <v>Venta Normal</v>
      </c>
    </row>
    <row r="214" spans="1:8" ht="15.75" customHeight="1" x14ac:dyDescent="0.3">
      <c r="A214" s="1">
        <v>46026</v>
      </c>
      <c r="B214" s="2" t="s">
        <v>251</v>
      </c>
      <c r="C214" s="2" t="s">
        <v>16</v>
      </c>
      <c r="D214" s="2" t="s">
        <v>51</v>
      </c>
      <c r="E214" s="2">
        <v>6</v>
      </c>
      <c r="F214" s="8">
        <v>640391</v>
      </c>
      <c r="G214" s="11">
        <v>0</v>
      </c>
      <c r="H214" s="17" t="str">
        <f>IF(tbl_Ventas[[#This Row],[Cantidad]]&gt;=10,"Venta Alta","Venta Normal")</f>
        <v>Venta Normal</v>
      </c>
    </row>
    <row r="215" spans="1:8" ht="15.75" customHeight="1" x14ac:dyDescent="0.3">
      <c r="A215" s="1">
        <v>46026</v>
      </c>
      <c r="B215" s="2" t="s">
        <v>252</v>
      </c>
      <c r="C215" s="2" t="s">
        <v>1</v>
      </c>
      <c r="D215" s="2" t="s">
        <v>2</v>
      </c>
      <c r="E215" s="2">
        <v>11</v>
      </c>
      <c r="F215" s="8">
        <v>733685</v>
      </c>
      <c r="G215" s="11">
        <v>0</v>
      </c>
      <c r="H215" s="17" t="str">
        <f>IF(tbl_Ventas[[#This Row],[Cantidad]]&gt;=10,"Venta Alta","Venta Normal")</f>
        <v>Venta Alta</v>
      </c>
    </row>
    <row r="216" spans="1:8" ht="15.75" customHeight="1" x14ac:dyDescent="0.3">
      <c r="A216" s="1">
        <v>46026</v>
      </c>
      <c r="B216" s="2" t="s">
        <v>253</v>
      </c>
      <c r="C216" s="2" t="s">
        <v>7</v>
      </c>
      <c r="D216" s="2" t="s">
        <v>2</v>
      </c>
      <c r="E216" s="2">
        <v>4</v>
      </c>
      <c r="F216" s="8">
        <v>662295</v>
      </c>
      <c r="G216" s="10">
        <v>0.11</v>
      </c>
      <c r="H216" s="18" t="str">
        <f>IF(tbl_Ventas[[#This Row],[Cantidad]]&gt;=10,"Venta Alta","Venta Normal")</f>
        <v>Venta Normal</v>
      </c>
    </row>
    <row r="217" spans="1:8" ht="15.75" customHeight="1" x14ac:dyDescent="0.3">
      <c r="A217" s="1">
        <v>46026</v>
      </c>
      <c r="B217" s="2" t="s">
        <v>254</v>
      </c>
      <c r="C217" s="2" t="s">
        <v>5</v>
      </c>
      <c r="D217" s="2" t="s">
        <v>2</v>
      </c>
      <c r="E217" s="2">
        <v>7</v>
      </c>
      <c r="F217" s="8">
        <v>395736</v>
      </c>
      <c r="G217" s="10">
        <v>0.09</v>
      </c>
      <c r="H217" s="18" t="str">
        <f>IF(tbl_Ventas[[#This Row],[Cantidad]]&gt;=10,"Venta Alta","Venta Normal")</f>
        <v>Venta Normal</v>
      </c>
    </row>
    <row r="218" spans="1:8" ht="15.75" customHeight="1" x14ac:dyDescent="0.3">
      <c r="A218" s="1">
        <v>46026</v>
      </c>
      <c r="B218" s="2" t="s">
        <v>255</v>
      </c>
      <c r="C218" s="2" t="s">
        <v>33</v>
      </c>
      <c r="D218" s="2" t="s">
        <v>51</v>
      </c>
      <c r="E218" s="2">
        <v>4</v>
      </c>
      <c r="F218" s="8">
        <v>751310</v>
      </c>
      <c r="G218" s="10">
        <v>0.13</v>
      </c>
      <c r="H218" s="18" t="str">
        <f>IF(tbl_Ventas[[#This Row],[Cantidad]]&gt;=10,"Venta Alta","Venta Normal")</f>
        <v>Venta Normal</v>
      </c>
    </row>
    <row r="219" spans="1:8" ht="15.75" customHeight="1" x14ac:dyDescent="0.3">
      <c r="A219" s="1">
        <v>46026</v>
      </c>
      <c r="B219" s="2" t="s">
        <v>256</v>
      </c>
      <c r="C219" s="2" t="s">
        <v>12</v>
      </c>
      <c r="D219" s="2" t="s">
        <v>2</v>
      </c>
      <c r="E219" s="2">
        <v>3</v>
      </c>
      <c r="F219" s="8">
        <v>409137</v>
      </c>
      <c r="G219" s="11">
        <v>0</v>
      </c>
      <c r="H219" s="17" t="str">
        <f>IF(tbl_Ventas[[#This Row],[Cantidad]]&gt;=10,"Venta Alta","Venta Normal")</f>
        <v>Venta Normal</v>
      </c>
    </row>
    <row r="220" spans="1:8" ht="15.75" customHeight="1" x14ac:dyDescent="0.3">
      <c r="A220" s="1">
        <v>46026</v>
      </c>
      <c r="B220" s="2" t="s">
        <v>257</v>
      </c>
      <c r="C220" s="2" t="s">
        <v>71</v>
      </c>
      <c r="D220" s="2" t="s">
        <v>2</v>
      </c>
      <c r="E220" s="2">
        <v>12</v>
      </c>
      <c r="F220" s="8">
        <v>294559</v>
      </c>
      <c r="G220" s="10">
        <v>0.09</v>
      </c>
      <c r="H220" s="18" t="str">
        <f>IF(tbl_Ventas[[#This Row],[Cantidad]]&gt;=10,"Venta Alta","Venta Normal")</f>
        <v>Venta Alta</v>
      </c>
    </row>
    <row r="221" spans="1:8" ht="15.75" customHeight="1" x14ac:dyDescent="0.3">
      <c r="A221" s="1">
        <v>46026</v>
      </c>
      <c r="B221" s="2" t="s">
        <v>258</v>
      </c>
      <c r="C221" s="2" t="s">
        <v>22</v>
      </c>
      <c r="D221" s="2" t="s">
        <v>51</v>
      </c>
      <c r="E221" s="2">
        <v>3</v>
      </c>
      <c r="F221" s="8">
        <v>786606</v>
      </c>
      <c r="G221" s="10">
        <v>0.09</v>
      </c>
      <c r="H221" s="18" t="str">
        <f>IF(tbl_Ventas[[#This Row],[Cantidad]]&gt;=10,"Venta Alta","Venta Normal")</f>
        <v>Venta Normal</v>
      </c>
    </row>
    <row r="222" spans="1:8" ht="15.75" customHeight="1" x14ac:dyDescent="0.3">
      <c r="A222" s="1">
        <v>46026</v>
      </c>
      <c r="B222" s="2" t="s">
        <v>259</v>
      </c>
      <c r="C222" s="2" t="s">
        <v>16</v>
      </c>
      <c r="D222" s="2" t="s">
        <v>17</v>
      </c>
      <c r="E222" s="2">
        <v>4</v>
      </c>
      <c r="F222" s="8">
        <v>323125</v>
      </c>
      <c r="G222" s="11">
        <v>0</v>
      </c>
      <c r="H222" s="17" t="str">
        <f>IF(tbl_Ventas[[#This Row],[Cantidad]]&gt;=10,"Venta Alta","Venta Normal")</f>
        <v>Venta Normal</v>
      </c>
    </row>
    <row r="223" spans="1:8" ht="15.75" customHeight="1" x14ac:dyDescent="0.3">
      <c r="A223" s="1">
        <v>46026</v>
      </c>
      <c r="B223" s="2" t="s">
        <v>260</v>
      </c>
      <c r="C223" s="2" t="s">
        <v>1</v>
      </c>
      <c r="D223" s="2" t="s">
        <v>25</v>
      </c>
      <c r="E223" s="2">
        <v>5</v>
      </c>
      <c r="F223" s="8">
        <v>188266</v>
      </c>
      <c r="G223" s="10">
        <v>0.14000000000000001</v>
      </c>
      <c r="H223" s="18" t="str">
        <f>IF(tbl_Ventas[[#This Row],[Cantidad]]&gt;=10,"Venta Alta","Venta Normal")</f>
        <v>Venta Normal</v>
      </c>
    </row>
    <row r="224" spans="1:8" ht="15.75" customHeight="1" x14ac:dyDescent="0.3">
      <c r="A224" s="1">
        <v>46026</v>
      </c>
      <c r="B224" s="2" t="s">
        <v>261</v>
      </c>
      <c r="C224" s="2" t="s">
        <v>33</v>
      </c>
      <c r="D224" s="2" t="s">
        <v>2</v>
      </c>
      <c r="E224" s="2">
        <v>11</v>
      </c>
      <c r="F224" s="8">
        <v>668373</v>
      </c>
      <c r="G224" s="11">
        <v>0</v>
      </c>
      <c r="H224" s="17" t="str">
        <f>IF(tbl_Ventas[[#This Row],[Cantidad]]&gt;=10,"Venta Alta","Venta Normal")</f>
        <v>Venta Alta</v>
      </c>
    </row>
    <row r="225" spans="1:8" ht="15.75" customHeight="1" x14ac:dyDescent="0.3">
      <c r="A225" s="1">
        <v>46026</v>
      </c>
      <c r="B225" s="2" t="s">
        <v>262</v>
      </c>
      <c r="C225" s="2" t="s">
        <v>1</v>
      </c>
      <c r="D225" s="2" t="s">
        <v>51</v>
      </c>
      <c r="E225" s="2">
        <v>4</v>
      </c>
      <c r="F225" s="8">
        <v>533082</v>
      </c>
      <c r="G225" s="10">
        <v>0.15</v>
      </c>
      <c r="H225" s="18" t="str">
        <f>IF(tbl_Ventas[[#This Row],[Cantidad]]&gt;=10,"Venta Alta","Venta Normal")</f>
        <v>Venta Normal</v>
      </c>
    </row>
    <row r="226" spans="1:8" ht="15.75" customHeight="1" x14ac:dyDescent="0.3">
      <c r="A226" s="1">
        <v>46026</v>
      </c>
      <c r="B226" s="2" t="s">
        <v>263</v>
      </c>
      <c r="C226" s="2" t="s">
        <v>16</v>
      </c>
      <c r="D226" s="2" t="s">
        <v>2</v>
      </c>
      <c r="E226" s="2">
        <v>5</v>
      </c>
      <c r="F226" s="8">
        <v>185022</v>
      </c>
      <c r="G226" s="10">
        <v>0.12</v>
      </c>
      <c r="H226" s="18" t="str">
        <f>IF(tbl_Ventas[[#This Row],[Cantidad]]&gt;=10,"Venta Alta","Venta Normal")</f>
        <v>Venta Normal</v>
      </c>
    </row>
    <row r="227" spans="1:8" ht="15.75" customHeight="1" x14ac:dyDescent="0.3">
      <c r="A227" s="1">
        <v>46026</v>
      </c>
      <c r="B227" s="2" t="s">
        <v>264</v>
      </c>
      <c r="C227" s="2" t="s">
        <v>22</v>
      </c>
      <c r="D227" s="2" t="s">
        <v>2</v>
      </c>
      <c r="E227" s="2">
        <v>10</v>
      </c>
      <c r="F227" s="8">
        <v>381818</v>
      </c>
      <c r="G227" s="10">
        <v>0.11</v>
      </c>
      <c r="H227" s="18" t="str">
        <f>IF(tbl_Ventas[[#This Row],[Cantidad]]&gt;=10,"Venta Alta","Venta Normal")</f>
        <v>Venta Alta</v>
      </c>
    </row>
    <row r="228" spans="1:8" ht="15.75" customHeight="1" x14ac:dyDescent="0.3">
      <c r="A228" s="1">
        <v>46027</v>
      </c>
      <c r="B228" s="2" t="s">
        <v>265</v>
      </c>
      <c r="C228" s="2" t="s">
        <v>5</v>
      </c>
      <c r="D228" s="2" t="s">
        <v>25</v>
      </c>
      <c r="E228" s="2">
        <v>3</v>
      </c>
      <c r="F228" s="8">
        <v>617092</v>
      </c>
      <c r="G228" s="10">
        <v>7.0000000000000007E-2</v>
      </c>
      <c r="H228" s="18" t="str">
        <f>IF(tbl_Ventas[[#This Row],[Cantidad]]&gt;=10,"Venta Alta","Venta Normal")</f>
        <v>Venta Normal</v>
      </c>
    </row>
    <row r="229" spans="1:8" ht="15.75" customHeight="1" x14ac:dyDescent="0.3">
      <c r="A229" s="1">
        <v>46027</v>
      </c>
      <c r="B229" s="2" t="s">
        <v>266</v>
      </c>
      <c r="C229" s="2" t="s">
        <v>16</v>
      </c>
      <c r="D229" s="2" t="s">
        <v>2</v>
      </c>
      <c r="E229" s="2">
        <v>12</v>
      </c>
      <c r="F229" s="8">
        <v>203727</v>
      </c>
      <c r="G229" s="11">
        <v>0</v>
      </c>
      <c r="H229" s="17" t="str">
        <f>IF(tbl_Ventas[[#This Row],[Cantidad]]&gt;=10,"Venta Alta","Venta Normal")</f>
        <v>Venta Alta</v>
      </c>
    </row>
    <row r="230" spans="1:8" ht="15.75" customHeight="1" x14ac:dyDescent="0.3">
      <c r="A230" s="1">
        <v>46027</v>
      </c>
      <c r="B230" s="2" t="s">
        <v>267</v>
      </c>
      <c r="C230" s="2" t="s">
        <v>7</v>
      </c>
      <c r="D230" s="2" t="s">
        <v>51</v>
      </c>
      <c r="E230" s="2">
        <v>6</v>
      </c>
      <c r="F230" s="8">
        <v>687544</v>
      </c>
      <c r="G230" s="11">
        <v>0</v>
      </c>
      <c r="H230" s="17" t="str">
        <f>IF(tbl_Ventas[[#This Row],[Cantidad]]&gt;=10,"Venta Alta","Venta Normal")</f>
        <v>Venta Normal</v>
      </c>
    </row>
    <row r="231" spans="1:8" ht="15.75" customHeight="1" x14ac:dyDescent="0.3">
      <c r="A231" s="1">
        <v>46027</v>
      </c>
      <c r="B231" s="2" t="s">
        <v>268</v>
      </c>
      <c r="C231" s="2" t="s">
        <v>5</v>
      </c>
      <c r="D231" s="2" t="s">
        <v>25</v>
      </c>
      <c r="E231" s="2">
        <v>11</v>
      </c>
      <c r="F231" s="8">
        <v>512604</v>
      </c>
      <c r="G231" s="10">
        <v>0.11</v>
      </c>
      <c r="H231" s="18" t="str">
        <f>IF(tbl_Ventas[[#This Row],[Cantidad]]&gt;=10,"Venta Alta","Venta Normal")</f>
        <v>Venta Alta</v>
      </c>
    </row>
    <row r="232" spans="1:8" ht="15.75" customHeight="1" x14ac:dyDescent="0.3">
      <c r="A232" s="1">
        <v>46027</v>
      </c>
      <c r="B232" s="2" t="s">
        <v>269</v>
      </c>
      <c r="C232" s="2" t="s">
        <v>16</v>
      </c>
      <c r="D232" s="2" t="s">
        <v>51</v>
      </c>
      <c r="E232" s="2">
        <v>5</v>
      </c>
      <c r="F232" s="8">
        <v>100432</v>
      </c>
      <c r="G232" s="11">
        <v>0</v>
      </c>
      <c r="H232" s="17" t="str">
        <f>IF(tbl_Ventas[[#This Row],[Cantidad]]&gt;=10,"Venta Alta","Venta Normal")</f>
        <v>Venta Normal</v>
      </c>
    </row>
    <row r="233" spans="1:8" ht="15.75" customHeight="1" x14ac:dyDescent="0.3">
      <c r="A233" s="1">
        <v>46027</v>
      </c>
      <c r="B233" s="2" t="s">
        <v>270</v>
      </c>
      <c r="C233" s="2" t="s">
        <v>7</v>
      </c>
      <c r="D233" s="2" t="s">
        <v>17</v>
      </c>
      <c r="E233" s="2">
        <v>6</v>
      </c>
      <c r="F233" s="8">
        <v>157344</v>
      </c>
      <c r="G233" s="10">
        <v>0.1</v>
      </c>
      <c r="H233" s="18" t="str">
        <f>IF(tbl_Ventas[[#This Row],[Cantidad]]&gt;=10,"Venta Alta","Venta Normal")</f>
        <v>Venta Normal</v>
      </c>
    </row>
    <row r="234" spans="1:8" ht="15.75" customHeight="1" x14ac:dyDescent="0.3">
      <c r="A234" s="1">
        <v>46027</v>
      </c>
      <c r="B234" s="2" t="s">
        <v>271</v>
      </c>
      <c r="C234" s="2" t="s">
        <v>71</v>
      </c>
      <c r="D234" s="2" t="s">
        <v>17</v>
      </c>
      <c r="E234" s="2">
        <v>2</v>
      </c>
      <c r="F234" s="8">
        <v>403288</v>
      </c>
      <c r="G234" s="10">
        <v>7.0000000000000007E-2</v>
      </c>
      <c r="H234" s="18" t="str">
        <f>IF(tbl_Ventas[[#This Row],[Cantidad]]&gt;=10,"Venta Alta","Venta Normal")</f>
        <v>Venta Normal</v>
      </c>
    </row>
    <row r="235" spans="1:8" ht="15.75" customHeight="1" x14ac:dyDescent="0.3">
      <c r="A235" s="1">
        <v>46027</v>
      </c>
      <c r="B235" s="2" t="s">
        <v>272</v>
      </c>
      <c r="C235" s="2" t="s">
        <v>22</v>
      </c>
      <c r="D235" s="2" t="s">
        <v>17</v>
      </c>
      <c r="E235" s="2">
        <v>2</v>
      </c>
      <c r="F235" s="8">
        <v>373687</v>
      </c>
      <c r="G235" s="10">
        <v>0.08</v>
      </c>
      <c r="H235" s="18" t="str">
        <f>IF(tbl_Ventas[[#This Row],[Cantidad]]&gt;=10,"Venta Alta","Venta Normal")</f>
        <v>Venta Normal</v>
      </c>
    </row>
    <row r="236" spans="1:8" ht="15.75" customHeight="1" x14ac:dyDescent="0.3">
      <c r="A236" s="1">
        <v>46027</v>
      </c>
      <c r="B236" s="2" t="s">
        <v>273</v>
      </c>
      <c r="C236" s="2" t="s">
        <v>33</v>
      </c>
      <c r="D236" s="2" t="s">
        <v>51</v>
      </c>
      <c r="E236" s="2">
        <v>11</v>
      </c>
      <c r="F236" s="8">
        <v>593071</v>
      </c>
      <c r="G236" s="11">
        <v>0</v>
      </c>
      <c r="H236" s="17" t="str">
        <f>IF(tbl_Ventas[[#This Row],[Cantidad]]&gt;=10,"Venta Alta","Venta Normal")</f>
        <v>Venta Alta</v>
      </c>
    </row>
    <row r="237" spans="1:8" ht="15.75" customHeight="1" x14ac:dyDescent="0.3">
      <c r="A237" s="1">
        <v>46027</v>
      </c>
      <c r="B237" s="2" t="s">
        <v>274</v>
      </c>
      <c r="C237" s="2" t="s">
        <v>71</v>
      </c>
      <c r="D237" s="2" t="s">
        <v>51</v>
      </c>
      <c r="E237" s="2">
        <v>7</v>
      </c>
      <c r="F237" s="8">
        <v>517102</v>
      </c>
      <c r="G237" s="10">
        <v>0.08</v>
      </c>
      <c r="H237" s="18" t="str">
        <f>IF(tbl_Ventas[[#This Row],[Cantidad]]&gt;=10,"Venta Alta","Venta Normal")</f>
        <v>Venta Normal</v>
      </c>
    </row>
    <row r="238" spans="1:8" ht="15.75" customHeight="1" x14ac:dyDescent="0.3">
      <c r="A238" s="1">
        <v>46027</v>
      </c>
      <c r="B238" s="2" t="s">
        <v>275</v>
      </c>
      <c r="C238" s="2" t="s">
        <v>12</v>
      </c>
      <c r="D238" s="2" t="s">
        <v>25</v>
      </c>
      <c r="E238" s="2">
        <v>11</v>
      </c>
      <c r="F238" s="8">
        <v>785888</v>
      </c>
      <c r="G238" s="10">
        <v>0.13</v>
      </c>
      <c r="H238" s="18" t="str">
        <f>IF(tbl_Ventas[[#This Row],[Cantidad]]&gt;=10,"Venta Alta","Venta Normal")</f>
        <v>Venta Alta</v>
      </c>
    </row>
    <row r="239" spans="1:8" ht="15.75" customHeight="1" x14ac:dyDescent="0.3">
      <c r="A239" s="1">
        <v>46027</v>
      </c>
      <c r="B239" s="2" t="s">
        <v>276</v>
      </c>
      <c r="C239" s="2" t="s">
        <v>33</v>
      </c>
      <c r="D239" s="2" t="s">
        <v>13</v>
      </c>
      <c r="E239" s="2">
        <v>5</v>
      </c>
      <c r="F239" s="8">
        <v>240399</v>
      </c>
      <c r="G239" s="11">
        <v>0</v>
      </c>
      <c r="H239" s="17" t="str">
        <f>IF(tbl_Ventas[[#This Row],[Cantidad]]&gt;=10,"Venta Alta","Venta Normal")</f>
        <v>Venta Normal</v>
      </c>
    </row>
    <row r="240" spans="1:8" ht="15.75" customHeight="1" x14ac:dyDescent="0.3">
      <c r="A240" s="1">
        <v>46027</v>
      </c>
      <c r="B240" s="2" t="s">
        <v>277</v>
      </c>
      <c r="C240" s="2" t="s">
        <v>12</v>
      </c>
      <c r="D240" s="2" t="s">
        <v>13</v>
      </c>
      <c r="E240" s="2">
        <v>3</v>
      </c>
      <c r="F240" s="8">
        <v>642132</v>
      </c>
      <c r="G240" s="11">
        <v>0</v>
      </c>
      <c r="H240" s="17" t="str">
        <f>IF(tbl_Ventas[[#This Row],[Cantidad]]&gt;=10,"Venta Alta","Venta Normal")</f>
        <v>Venta Normal</v>
      </c>
    </row>
    <row r="241" spans="1:8" ht="15.75" customHeight="1" x14ac:dyDescent="0.3">
      <c r="A241" s="1">
        <v>46027</v>
      </c>
      <c r="B241" s="2" t="s">
        <v>278</v>
      </c>
      <c r="C241" s="2" t="s">
        <v>71</v>
      </c>
      <c r="D241" s="2" t="s">
        <v>13</v>
      </c>
      <c r="E241" s="2">
        <v>11</v>
      </c>
      <c r="F241" s="8">
        <v>424613</v>
      </c>
      <c r="G241" s="11">
        <v>0</v>
      </c>
      <c r="H241" s="17" t="str">
        <f>IF(tbl_Ventas[[#This Row],[Cantidad]]&gt;=10,"Venta Alta","Venta Normal")</f>
        <v>Venta Alta</v>
      </c>
    </row>
    <row r="242" spans="1:8" ht="15.75" customHeight="1" x14ac:dyDescent="0.3">
      <c r="A242" s="1">
        <v>46027</v>
      </c>
      <c r="B242" s="2" t="s">
        <v>279</v>
      </c>
      <c r="C242" s="2" t="s">
        <v>5</v>
      </c>
      <c r="D242" s="2" t="s">
        <v>13</v>
      </c>
      <c r="E242" s="2">
        <v>5</v>
      </c>
      <c r="F242" s="8">
        <v>46541</v>
      </c>
      <c r="G242" s="11">
        <v>0</v>
      </c>
      <c r="H242" s="17" t="str">
        <f>IF(tbl_Ventas[[#This Row],[Cantidad]]&gt;=10,"Venta Alta","Venta Normal")</f>
        <v>Venta Normal</v>
      </c>
    </row>
    <row r="243" spans="1:8" ht="15.75" customHeight="1" x14ac:dyDescent="0.3">
      <c r="A243" s="1">
        <v>46027</v>
      </c>
      <c r="B243" s="2" t="s">
        <v>280</v>
      </c>
      <c r="C243" s="2" t="s">
        <v>7</v>
      </c>
      <c r="D243" s="2" t="s">
        <v>17</v>
      </c>
      <c r="E243" s="2">
        <v>2</v>
      </c>
      <c r="F243" s="8">
        <v>184165</v>
      </c>
      <c r="G243" s="10">
        <v>0.08</v>
      </c>
      <c r="H243" s="18" t="str">
        <f>IF(tbl_Ventas[[#This Row],[Cantidad]]&gt;=10,"Venta Alta","Venta Normal")</f>
        <v>Venta Normal</v>
      </c>
    </row>
    <row r="244" spans="1:8" ht="15.75" customHeight="1" x14ac:dyDescent="0.3">
      <c r="A244" s="1">
        <v>46027</v>
      </c>
      <c r="B244" s="2" t="s">
        <v>281</v>
      </c>
      <c r="C244" s="2" t="s">
        <v>71</v>
      </c>
      <c r="D244" s="2" t="s">
        <v>17</v>
      </c>
      <c r="E244" s="2">
        <v>12</v>
      </c>
      <c r="F244" s="8">
        <v>559922</v>
      </c>
      <c r="G244" s="11">
        <v>0</v>
      </c>
      <c r="H244" s="17" t="str">
        <f>IF(tbl_Ventas[[#This Row],[Cantidad]]&gt;=10,"Venta Alta","Venta Normal")</f>
        <v>Venta Alta</v>
      </c>
    </row>
    <row r="245" spans="1:8" ht="15.75" customHeight="1" x14ac:dyDescent="0.3">
      <c r="A245" s="1">
        <v>46027</v>
      </c>
      <c r="B245" s="2" t="s">
        <v>282</v>
      </c>
      <c r="C245" s="2" t="s">
        <v>71</v>
      </c>
      <c r="D245" s="2" t="s">
        <v>51</v>
      </c>
      <c r="E245" s="2">
        <v>5</v>
      </c>
      <c r="F245" s="8">
        <v>510271</v>
      </c>
      <c r="G245" s="11">
        <v>0</v>
      </c>
      <c r="H245" s="17" t="str">
        <f>IF(tbl_Ventas[[#This Row],[Cantidad]]&gt;=10,"Venta Alta","Venta Normal")</f>
        <v>Venta Normal</v>
      </c>
    </row>
    <row r="246" spans="1:8" ht="15.75" customHeight="1" x14ac:dyDescent="0.3">
      <c r="A246" s="1">
        <v>46027</v>
      </c>
      <c r="B246" s="2" t="s">
        <v>283</v>
      </c>
      <c r="C246" s="2" t="s">
        <v>71</v>
      </c>
      <c r="D246" s="2" t="s">
        <v>17</v>
      </c>
      <c r="E246" s="2">
        <v>12</v>
      </c>
      <c r="F246" s="8">
        <v>394535</v>
      </c>
      <c r="G246" s="11">
        <v>0</v>
      </c>
      <c r="H246" s="17" t="str">
        <f>IF(tbl_Ventas[[#This Row],[Cantidad]]&gt;=10,"Venta Alta","Venta Normal")</f>
        <v>Venta Alta</v>
      </c>
    </row>
    <row r="247" spans="1:8" ht="15.75" customHeight="1" x14ac:dyDescent="0.3">
      <c r="A247" s="1">
        <v>46027</v>
      </c>
      <c r="B247" s="2" t="s">
        <v>284</v>
      </c>
      <c r="C247" s="2" t="s">
        <v>71</v>
      </c>
      <c r="D247" s="2" t="s">
        <v>51</v>
      </c>
      <c r="E247" s="2">
        <v>8</v>
      </c>
      <c r="F247" s="8">
        <v>94764</v>
      </c>
      <c r="G247" s="10">
        <v>0.14000000000000001</v>
      </c>
      <c r="H247" s="18" t="str">
        <f>IF(tbl_Ventas[[#This Row],[Cantidad]]&gt;=10,"Venta Alta","Venta Normal")</f>
        <v>Venta Normal</v>
      </c>
    </row>
    <row r="248" spans="1:8" ht="15.75" customHeight="1" x14ac:dyDescent="0.3">
      <c r="A248" s="1">
        <v>46027</v>
      </c>
      <c r="B248" s="2" t="s">
        <v>285</v>
      </c>
      <c r="C248" s="2" t="s">
        <v>33</v>
      </c>
      <c r="D248" s="2" t="s">
        <v>51</v>
      </c>
      <c r="E248" s="2">
        <v>1</v>
      </c>
      <c r="F248" s="8">
        <v>155474</v>
      </c>
      <c r="G248" s="10">
        <v>0.04</v>
      </c>
      <c r="H248" s="18" t="str">
        <f>IF(tbl_Ventas[[#This Row],[Cantidad]]&gt;=10,"Venta Alta","Venta Normal")</f>
        <v>Venta Normal</v>
      </c>
    </row>
    <row r="249" spans="1:8" ht="15.75" customHeight="1" x14ac:dyDescent="0.3">
      <c r="A249" s="1">
        <v>46027</v>
      </c>
      <c r="B249" s="2" t="s">
        <v>286</v>
      </c>
      <c r="C249" s="2" t="s">
        <v>16</v>
      </c>
      <c r="D249" s="2" t="s">
        <v>2</v>
      </c>
      <c r="E249" s="2">
        <v>1</v>
      </c>
      <c r="F249" s="8">
        <v>360676</v>
      </c>
      <c r="G249" s="10">
        <v>0.06</v>
      </c>
      <c r="H249" s="18" t="str">
        <f>IF(tbl_Ventas[[#This Row],[Cantidad]]&gt;=10,"Venta Alta","Venta Normal")</f>
        <v>Venta Normal</v>
      </c>
    </row>
    <row r="250" spans="1:8" ht="15.75" customHeight="1" x14ac:dyDescent="0.3">
      <c r="A250" s="1">
        <v>46027</v>
      </c>
      <c r="B250" s="2" t="s">
        <v>287</v>
      </c>
      <c r="C250" s="2" t="s">
        <v>16</v>
      </c>
      <c r="D250" s="2" t="s">
        <v>17</v>
      </c>
      <c r="E250" s="2">
        <v>2</v>
      </c>
      <c r="F250" s="8">
        <v>771728</v>
      </c>
      <c r="G250" s="10">
        <v>7.0000000000000007E-2</v>
      </c>
      <c r="H250" s="18" t="str">
        <f>IF(tbl_Ventas[[#This Row],[Cantidad]]&gt;=10,"Venta Alta","Venta Normal")</f>
        <v>Venta Normal</v>
      </c>
    </row>
    <row r="251" spans="1:8" ht="15.75" customHeight="1" x14ac:dyDescent="0.3">
      <c r="A251" s="1">
        <v>46027</v>
      </c>
      <c r="B251" s="2" t="s">
        <v>288</v>
      </c>
      <c r="C251" s="2" t="s">
        <v>33</v>
      </c>
      <c r="D251" s="2" t="s">
        <v>25</v>
      </c>
      <c r="E251" s="2">
        <v>7</v>
      </c>
      <c r="F251" s="8">
        <v>208772</v>
      </c>
      <c r="G251" s="10">
        <v>0.11</v>
      </c>
      <c r="H251" s="18" t="str">
        <f>IF(tbl_Ventas[[#This Row],[Cantidad]]&gt;=10,"Venta Alta","Venta Normal")</f>
        <v>Venta Normal</v>
      </c>
    </row>
    <row r="252" spans="1:8" ht="15.75" customHeight="1" x14ac:dyDescent="0.3">
      <c r="A252" s="1">
        <v>46027</v>
      </c>
      <c r="B252" s="2" t="s">
        <v>289</v>
      </c>
      <c r="C252" s="2" t="s">
        <v>71</v>
      </c>
      <c r="D252" s="2" t="s">
        <v>2</v>
      </c>
      <c r="E252" s="2">
        <v>11</v>
      </c>
      <c r="F252" s="8">
        <v>746298</v>
      </c>
      <c r="G252" s="10">
        <v>0.02</v>
      </c>
      <c r="H252" s="18" t="str">
        <f>IF(tbl_Ventas[[#This Row],[Cantidad]]&gt;=10,"Venta Alta","Venta Normal")</f>
        <v>Venta Alta</v>
      </c>
    </row>
    <row r="253" spans="1:8" ht="15.75" customHeight="1" x14ac:dyDescent="0.3">
      <c r="A253" s="1">
        <v>46027</v>
      </c>
      <c r="B253" s="2" t="s">
        <v>290</v>
      </c>
      <c r="C253" s="2" t="s">
        <v>5</v>
      </c>
      <c r="D253" s="2" t="s">
        <v>17</v>
      </c>
      <c r="E253" s="2">
        <v>9</v>
      </c>
      <c r="F253" s="8">
        <v>168433</v>
      </c>
      <c r="G253" s="10">
        <v>0.06</v>
      </c>
      <c r="H253" s="18" t="str">
        <f>IF(tbl_Ventas[[#This Row],[Cantidad]]&gt;=10,"Venta Alta","Venta Normal")</f>
        <v>Venta Normal</v>
      </c>
    </row>
    <row r="254" spans="1:8" ht="15.75" customHeight="1" x14ac:dyDescent="0.3">
      <c r="A254" s="1">
        <v>46027</v>
      </c>
      <c r="B254" s="2" t="s">
        <v>291</v>
      </c>
      <c r="C254" s="2" t="s">
        <v>5</v>
      </c>
      <c r="D254" s="2" t="s">
        <v>25</v>
      </c>
      <c r="E254" s="2">
        <v>2</v>
      </c>
      <c r="F254" s="8">
        <v>337317</v>
      </c>
      <c r="G254" s="10">
        <v>0.11</v>
      </c>
      <c r="H254" s="18" t="str">
        <f>IF(tbl_Ventas[[#This Row],[Cantidad]]&gt;=10,"Venta Alta","Venta Normal")</f>
        <v>Venta Normal</v>
      </c>
    </row>
    <row r="255" spans="1:8" ht="15.75" customHeight="1" x14ac:dyDescent="0.3">
      <c r="A255" s="1">
        <v>46027</v>
      </c>
      <c r="B255" s="2" t="s">
        <v>292</v>
      </c>
      <c r="C255" s="2" t="s">
        <v>7</v>
      </c>
      <c r="D255" s="2" t="s">
        <v>13</v>
      </c>
      <c r="E255" s="2">
        <v>6</v>
      </c>
      <c r="F255" s="8">
        <v>249605</v>
      </c>
      <c r="G255" s="10">
        <v>0.12</v>
      </c>
      <c r="H255" s="18" t="str">
        <f>IF(tbl_Ventas[[#This Row],[Cantidad]]&gt;=10,"Venta Alta","Venta Normal")</f>
        <v>Venta Normal</v>
      </c>
    </row>
    <row r="256" spans="1:8" ht="15.75" customHeight="1" x14ac:dyDescent="0.3">
      <c r="A256" s="1">
        <v>46027</v>
      </c>
      <c r="B256" s="2" t="s">
        <v>293</v>
      </c>
      <c r="C256" s="2" t="s">
        <v>7</v>
      </c>
      <c r="D256" s="2" t="s">
        <v>51</v>
      </c>
      <c r="E256" s="2">
        <v>7</v>
      </c>
      <c r="F256" s="8">
        <v>285978</v>
      </c>
      <c r="G256" s="10">
        <v>0.13</v>
      </c>
      <c r="H256" s="18" t="str">
        <f>IF(tbl_Ventas[[#This Row],[Cantidad]]&gt;=10,"Venta Alta","Venta Normal")</f>
        <v>Venta Normal</v>
      </c>
    </row>
    <row r="257" spans="1:8" ht="15.75" customHeight="1" x14ac:dyDescent="0.3">
      <c r="A257" s="1">
        <v>46027</v>
      </c>
      <c r="B257" s="2" t="s">
        <v>294</v>
      </c>
      <c r="C257" s="2" t="s">
        <v>16</v>
      </c>
      <c r="D257" s="2" t="s">
        <v>13</v>
      </c>
      <c r="E257" s="2">
        <v>7</v>
      </c>
      <c r="F257" s="8">
        <v>685115</v>
      </c>
      <c r="G257" s="10">
        <v>0.14000000000000001</v>
      </c>
      <c r="H257" s="18" t="str">
        <f>IF(tbl_Ventas[[#This Row],[Cantidad]]&gt;=10,"Venta Alta","Venta Normal")</f>
        <v>Venta Normal</v>
      </c>
    </row>
    <row r="258" spans="1:8" ht="15.75" customHeight="1" x14ac:dyDescent="0.3">
      <c r="A258" s="1">
        <v>46027</v>
      </c>
      <c r="B258" s="2" t="s">
        <v>295</v>
      </c>
      <c r="C258" s="2" t="s">
        <v>22</v>
      </c>
      <c r="D258" s="2" t="s">
        <v>13</v>
      </c>
      <c r="E258" s="2">
        <v>6</v>
      </c>
      <c r="F258" s="8">
        <v>289277</v>
      </c>
      <c r="G258" s="11">
        <v>0</v>
      </c>
      <c r="H258" s="17" t="str">
        <f>IF(tbl_Ventas[[#This Row],[Cantidad]]&gt;=10,"Venta Alta","Venta Normal")</f>
        <v>Venta Normal</v>
      </c>
    </row>
    <row r="259" spans="1:8" ht="15.75" customHeight="1" x14ac:dyDescent="0.3">
      <c r="A259" s="1">
        <v>46027</v>
      </c>
      <c r="B259" s="2" t="s">
        <v>296</v>
      </c>
      <c r="C259" s="2" t="s">
        <v>12</v>
      </c>
      <c r="D259" s="2" t="s">
        <v>2</v>
      </c>
      <c r="E259" s="2">
        <v>3</v>
      </c>
      <c r="F259" s="8">
        <v>571427</v>
      </c>
      <c r="G259" s="11">
        <v>0</v>
      </c>
      <c r="H259" s="17" t="str">
        <f>IF(tbl_Ventas[[#This Row],[Cantidad]]&gt;=10,"Venta Alta","Venta Normal")</f>
        <v>Venta Normal</v>
      </c>
    </row>
    <row r="260" spans="1:8" ht="15.75" customHeight="1" x14ac:dyDescent="0.3">
      <c r="A260" s="1">
        <v>46027</v>
      </c>
      <c r="B260" s="2" t="s">
        <v>297</v>
      </c>
      <c r="C260" s="2" t="s">
        <v>5</v>
      </c>
      <c r="D260" s="2" t="s">
        <v>13</v>
      </c>
      <c r="E260" s="2">
        <v>11</v>
      </c>
      <c r="F260" s="8">
        <v>770231</v>
      </c>
      <c r="G260" s="10">
        <v>0.11</v>
      </c>
      <c r="H260" s="18" t="str">
        <f>IF(tbl_Ventas[[#This Row],[Cantidad]]&gt;=10,"Venta Alta","Venta Normal")</f>
        <v>Venta Alta</v>
      </c>
    </row>
    <row r="261" spans="1:8" ht="15.75" customHeight="1" x14ac:dyDescent="0.3">
      <c r="A261" s="1">
        <v>46027</v>
      </c>
      <c r="B261" s="2" t="s">
        <v>298</v>
      </c>
      <c r="C261" s="2" t="s">
        <v>71</v>
      </c>
      <c r="D261" s="2" t="s">
        <v>25</v>
      </c>
      <c r="E261" s="2">
        <v>7</v>
      </c>
      <c r="F261" s="8">
        <v>804109</v>
      </c>
      <c r="G261" s="10">
        <v>0.08</v>
      </c>
      <c r="H261" s="18" t="str">
        <f>IF(tbl_Ventas[[#This Row],[Cantidad]]&gt;=10,"Venta Alta","Venta Normal")</f>
        <v>Venta Normal</v>
      </c>
    </row>
    <row r="262" spans="1:8" ht="15.75" customHeight="1" x14ac:dyDescent="0.3">
      <c r="A262" s="1">
        <v>46027</v>
      </c>
      <c r="B262" s="2" t="s">
        <v>299</v>
      </c>
      <c r="C262" s="2" t="s">
        <v>5</v>
      </c>
      <c r="D262" s="2" t="s">
        <v>13</v>
      </c>
      <c r="E262" s="2">
        <v>10</v>
      </c>
      <c r="F262" s="8">
        <v>72559</v>
      </c>
      <c r="G262" s="10">
        <v>0.11</v>
      </c>
      <c r="H262" s="18" t="str">
        <f>IF(tbl_Ventas[[#This Row],[Cantidad]]&gt;=10,"Venta Alta","Venta Normal")</f>
        <v>Venta Alta</v>
      </c>
    </row>
    <row r="263" spans="1:8" ht="15.75" customHeight="1" x14ac:dyDescent="0.3">
      <c r="A263" s="1">
        <v>46027</v>
      </c>
      <c r="B263" s="2" t="s">
        <v>300</v>
      </c>
      <c r="C263" s="2" t="s">
        <v>7</v>
      </c>
      <c r="D263" s="2" t="s">
        <v>2</v>
      </c>
      <c r="E263" s="2">
        <v>9</v>
      </c>
      <c r="F263" s="8">
        <v>267628</v>
      </c>
      <c r="G263" s="10">
        <v>0.05</v>
      </c>
      <c r="H263" s="18" t="str">
        <f>IF(tbl_Ventas[[#This Row],[Cantidad]]&gt;=10,"Venta Alta","Venta Normal")</f>
        <v>Venta Normal</v>
      </c>
    </row>
    <row r="264" spans="1:8" ht="15.75" customHeight="1" x14ac:dyDescent="0.3">
      <c r="A264" s="1">
        <v>46027</v>
      </c>
      <c r="B264" s="2" t="s">
        <v>301</v>
      </c>
      <c r="C264" s="2" t="s">
        <v>22</v>
      </c>
      <c r="D264" s="2" t="s">
        <v>13</v>
      </c>
      <c r="E264" s="2">
        <v>8</v>
      </c>
      <c r="F264" s="8">
        <v>694842</v>
      </c>
      <c r="G264" s="11">
        <v>0</v>
      </c>
      <c r="H264" s="17" t="str">
        <f>IF(tbl_Ventas[[#This Row],[Cantidad]]&gt;=10,"Venta Alta","Venta Normal")</f>
        <v>Venta Normal</v>
      </c>
    </row>
    <row r="265" spans="1:8" ht="15.75" customHeight="1" x14ac:dyDescent="0.3">
      <c r="A265" s="1">
        <v>46027</v>
      </c>
      <c r="B265" s="2" t="s">
        <v>302</v>
      </c>
      <c r="C265" s="2" t="s">
        <v>22</v>
      </c>
      <c r="D265" s="2" t="s">
        <v>51</v>
      </c>
      <c r="E265" s="2">
        <v>2</v>
      </c>
      <c r="F265" s="8">
        <v>251647</v>
      </c>
      <c r="G265" s="10">
        <v>7.0000000000000007E-2</v>
      </c>
      <c r="H265" s="18" t="str">
        <f>IF(tbl_Ventas[[#This Row],[Cantidad]]&gt;=10,"Venta Alta","Venta Normal")</f>
        <v>Venta Normal</v>
      </c>
    </row>
    <row r="266" spans="1:8" ht="15.75" customHeight="1" x14ac:dyDescent="0.3">
      <c r="A266" s="1">
        <v>46027</v>
      </c>
      <c r="B266" s="2" t="s">
        <v>303</v>
      </c>
      <c r="C266" s="2" t="s">
        <v>12</v>
      </c>
      <c r="D266" s="2" t="s">
        <v>13</v>
      </c>
      <c r="E266" s="2">
        <v>12</v>
      </c>
      <c r="F266" s="8">
        <v>602184</v>
      </c>
      <c r="G266" s="10">
        <v>0.06</v>
      </c>
      <c r="H266" s="18" t="str">
        <f>IF(tbl_Ventas[[#This Row],[Cantidad]]&gt;=10,"Venta Alta","Venta Normal")</f>
        <v>Venta Alta</v>
      </c>
    </row>
    <row r="267" spans="1:8" ht="15.75" customHeight="1" x14ac:dyDescent="0.3">
      <c r="A267" s="1">
        <v>46027</v>
      </c>
      <c r="B267" s="2" t="s">
        <v>304</v>
      </c>
      <c r="C267" s="2" t="s">
        <v>22</v>
      </c>
      <c r="D267" s="2" t="s">
        <v>2</v>
      </c>
      <c r="E267" s="2">
        <v>2</v>
      </c>
      <c r="F267" s="8">
        <v>348050</v>
      </c>
      <c r="G267" s="10">
        <v>0.05</v>
      </c>
      <c r="H267" s="18" t="str">
        <f>IF(tbl_Ventas[[#This Row],[Cantidad]]&gt;=10,"Venta Alta","Venta Normal")</f>
        <v>Venta Normal</v>
      </c>
    </row>
    <row r="268" spans="1:8" ht="15.75" customHeight="1" x14ac:dyDescent="0.3">
      <c r="A268" s="1">
        <v>46027</v>
      </c>
      <c r="B268" s="2" t="s">
        <v>305</v>
      </c>
      <c r="C268" s="2" t="s">
        <v>16</v>
      </c>
      <c r="D268" s="2" t="s">
        <v>17</v>
      </c>
      <c r="E268" s="2">
        <v>10</v>
      </c>
      <c r="F268" s="8">
        <v>256041</v>
      </c>
      <c r="G268" s="11">
        <v>0</v>
      </c>
      <c r="H268" s="17" t="str">
        <f>IF(tbl_Ventas[[#This Row],[Cantidad]]&gt;=10,"Venta Alta","Venta Normal")</f>
        <v>Venta Alta</v>
      </c>
    </row>
    <row r="269" spans="1:8" ht="15.75" customHeight="1" x14ac:dyDescent="0.3">
      <c r="A269" s="1">
        <v>46027</v>
      </c>
      <c r="B269" s="2" t="s">
        <v>306</v>
      </c>
      <c r="C269" s="2" t="s">
        <v>7</v>
      </c>
      <c r="D269" s="2" t="s">
        <v>13</v>
      </c>
      <c r="E269" s="2">
        <v>11</v>
      </c>
      <c r="F269" s="8">
        <v>241504</v>
      </c>
      <c r="G269" s="11">
        <v>0</v>
      </c>
      <c r="H269" s="17" t="str">
        <f>IF(tbl_Ventas[[#This Row],[Cantidad]]&gt;=10,"Venta Alta","Venta Normal")</f>
        <v>Venta Alta</v>
      </c>
    </row>
    <row r="270" spans="1:8" ht="15.75" customHeight="1" x14ac:dyDescent="0.3">
      <c r="A270" s="1">
        <v>46027</v>
      </c>
      <c r="B270" s="2" t="s">
        <v>307</v>
      </c>
      <c r="C270" s="2" t="s">
        <v>33</v>
      </c>
      <c r="D270" s="2" t="s">
        <v>13</v>
      </c>
      <c r="E270" s="2">
        <v>3</v>
      </c>
      <c r="F270" s="8">
        <v>88564</v>
      </c>
      <c r="G270" s="11">
        <v>0</v>
      </c>
      <c r="H270" s="17" t="str">
        <f>IF(tbl_Ventas[[#This Row],[Cantidad]]&gt;=10,"Venta Alta","Venta Normal")</f>
        <v>Venta Normal</v>
      </c>
    </row>
    <row r="271" spans="1:8" ht="15.75" customHeight="1" x14ac:dyDescent="0.3">
      <c r="A271" s="1">
        <v>46027</v>
      </c>
      <c r="B271" s="2" t="s">
        <v>308</v>
      </c>
      <c r="C271" s="2" t="s">
        <v>71</v>
      </c>
      <c r="D271" s="2" t="s">
        <v>13</v>
      </c>
      <c r="E271" s="2">
        <v>2</v>
      </c>
      <c r="F271" s="8">
        <v>779500</v>
      </c>
      <c r="G271" s="11">
        <v>0</v>
      </c>
      <c r="H271" s="17" t="str">
        <f>IF(tbl_Ventas[[#This Row],[Cantidad]]&gt;=10,"Venta Alta","Venta Normal")</f>
        <v>Venta Normal</v>
      </c>
    </row>
    <row r="272" spans="1:8" ht="15.75" customHeight="1" x14ac:dyDescent="0.3">
      <c r="A272" s="1">
        <v>46027</v>
      </c>
      <c r="B272" s="2" t="s">
        <v>309</v>
      </c>
      <c r="C272" s="2" t="s">
        <v>33</v>
      </c>
      <c r="D272" s="2" t="s">
        <v>13</v>
      </c>
      <c r="E272" s="2">
        <v>7</v>
      </c>
      <c r="F272" s="8">
        <v>582326</v>
      </c>
      <c r="G272" s="10">
        <v>0.12</v>
      </c>
      <c r="H272" s="18" t="str">
        <f>IF(tbl_Ventas[[#This Row],[Cantidad]]&gt;=10,"Venta Alta","Venta Normal")</f>
        <v>Venta Normal</v>
      </c>
    </row>
    <row r="273" spans="1:8" ht="15.75" customHeight="1" x14ac:dyDescent="0.3">
      <c r="A273" s="1">
        <v>46027</v>
      </c>
      <c r="B273" s="2" t="s">
        <v>310</v>
      </c>
      <c r="C273" s="2" t="s">
        <v>71</v>
      </c>
      <c r="D273" s="2" t="s">
        <v>2</v>
      </c>
      <c r="E273" s="2">
        <v>10</v>
      </c>
      <c r="F273" s="8">
        <v>121333</v>
      </c>
      <c r="G273" s="10">
        <v>0.1</v>
      </c>
      <c r="H273" s="18" t="str">
        <f>IF(tbl_Ventas[[#This Row],[Cantidad]]&gt;=10,"Venta Alta","Venta Normal")</f>
        <v>Venta Alta</v>
      </c>
    </row>
    <row r="274" spans="1:8" ht="15.75" customHeight="1" x14ac:dyDescent="0.3">
      <c r="A274" s="1">
        <v>46027</v>
      </c>
      <c r="B274" s="2" t="s">
        <v>311</v>
      </c>
      <c r="C274" s="2" t="s">
        <v>71</v>
      </c>
      <c r="D274" s="2" t="s">
        <v>17</v>
      </c>
      <c r="E274" s="2">
        <v>7</v>
      </c>
      <c r="F274" s="8">
        <v>320498</v>
      </c>
      <c r="G274" s="10">
        <v>0.13</v>
      </c>
      <c r="H274" s="18" t="str">
        <f>IF(tbl_Ventas[[#This Row],[Cantidad]]&gt;=10,"Venta Alta","Venta Normal")</f>
        <v>Venta Normal</v>
      </c>
    </row>
    <row r="275" spans="1:8" ht="15.75" customHeight="1" x14ac:dyDescent="0.3">
      <c r="A275" s="1">
        <v>46027</v>
      </c>
      <c r="B275" s="2" t="s">
        <v>312</v>
      </c>
      <c r="C275" s="2" t="s">
        <v>1</v>
      </c>
      <c r="D275" s="2" t="s">
        <v>51</v>
      </c>
      <c r="E275" s="2">
        <v>1</v>
      </c>
      <c r="F275" s="8">
        <v>84011</v>
      </c>
      <c r="G275" s="11">
        <v>0</v>
      </c>
      <c r="H275" s="17" t="str">
        <f>IF(tbl_Ventas[[#This Row],[Cantidad]]&gt;=10,"Venta Alta","Venta Normal")</f>
        <v>Venta Normal</v>
      </c>
    </row>
    <row r="276" spans="1:8" ht="15.75" customHeight="1" x14ac:dyDescent="0.3">
      <c r="A276" s="1">
        <v>46027</v>
      </c>
      <c r="B276" s="2" t="s">
        <v>313</v>
      </c>
      <c r="C276" s="2" t="s">
        <v>22</v>
      </c>
      <c r="D276" s="2" t="s">
        <v>2</v>
      </c>
      <c r="E276" s="2">
        <v>6</v>
      </c>
      <c r="F276" s="8">
        <v>51839</v>
      </c>
      <c r="G276" s="10">
        <v>0.06</v>
      </c>
      <c r="H276" s="18" t="str">
        <f>IF(tbl_Ventas[[#This Row],[Cantidad]]&gt;=10,"Venta Alta","Venta Normal")</f>
        <v>Venta Normal</v>
      </c>
    </row>
    <row r="277" spans="1:8" ht="15.75" customHeight="1" x14ac:dyDescent="0.3">
      <c r="A277" s="1">
        <v>46027</v>
      </c>
      <c r="B277" s="2" t="s">
        <v>314</v>
      </c>
      <c r="C277" s="2" t="s">
        <v>22</v>
      </c>
      <c r="D277" s="2" t="s">
        <v>51</v>
      </c>
      <c r="E277" s="2">
        <v>11</v>
      </c>
      <c r="F277" s="8">
        <v>725335</v>
      </c>
      <c r="G277" s="10">
        <v>0.12</v>
      </c>
      <c r="H277" s="18" t="str">
        <f>IF(tbl_Ventas[[#This Row],[Cantidad]]&gt;=10,"Venta Alta","Venta Normal")</f>
        <v>Venta Alta</v>
      </c>
    </row>
    <row r="278" spans="1:8" ht="15.75" customHeight="1" x14ac:dyDescent="0.3">
      <c r="A278" s="1">
        <v>46027</v>
      </c>
      <c r="B278" s="2" t="s">
        <v>315</v>
      </c>
      <c r="C278" s="2" t="s">
        <v>12</v>
      </c>
      <c r="D278" s="2" t="s">
        <v>17</v>
      </c>
      <c r="E278" s="2">
        <v>12</v>
      </c>
      <c r="F278" s="8">
        <v>753930</v>
      </c>
      <c r="G278" s="10">
        <v>0.14000000000000001</v>
      </c>
      <c r="H278" s="18" t="str">
        <f>IF(tbl_Ventas[[#This Row],[Cantidad]]&gt;=10,"Venta Alta","Venta Normal")</f>
        <v>Venta Alta</v>
      </c>
    </row>
    <row r="279" spans="1:8" ht="15.75" customHeight="1" x14ac:dyDescent="0.3">
      <c r="A279" s="1">
        <v>46027</v>
      </c>
      <c r="B279" s="2" t="s">
        <v>316</v>
      </c>
      <c r="C279" s="2" t="s">
        <v>7</v>
      </c>
      <c r="D279" s="2" t="s">
        <v>25</v>
      </c>
      <c r="E279" s="2">
        <v>11</v>
      </c>
      <c r="F279" s="8">
        <v>199826</v>
      </c>
      <c r="G279" s="11">
        <v>0</v>
      </c>
      <c r="H279" s="17" t="str">
        <f>IF(tbl_Ventas[[#This Row],[Cantidad]]&gt;=10,"Venta Alta","Venta Normal")</f>
        <v>Venta Alta</v>
      </c>
    </row>
    <row r="280" spans="1:8" ht="15.75" customHeight="1" x14ac:dyDescent="0.3">
      <c r="A280" s="1">
        <v>46027</v>
      </c>
      <c r="B280" s="2" t="s">
        <v>317</v>
      </c>
      <c r="C280" s="2" t="s">
        <v>33</v>
      </c>
      <c r="D280" s="2" t="s">
        <v>2</v>
      </c>
      <c r="E280" s="2">
        <v>12</v>
      </c>
      <c r="F280" s="8">
        <v>503688</v>
      </c>
      <c r="G280" s="10">
        <v>0.09</v>
      </c>
      <c r="H280" s="18" t="str">
        <f>IF(tbl_Ventas[[#This Row],[Cantidad]]&gt;=10,"Venta Alta","Venta Normal")</f>
        <v>Venta Alta</v>
      </c>
    </row>
    <row r="281" spans="1:8" ht="15.75" customHeight="1" x14ac:dyDescent="0.3">
      <c r="A281" s="1">
        <v>46027</v>
      </c>
      <c r="B281" s="2" t="s">
        <v>318</v>
      </c>
      <c r="C281" s="2" t="s">
        <v>7</v>
      </c>
      <c r="D281" s="2" t="s">
        <v>2</v>
      </c>
      <c r="E281" s="2">
        <v>1</v>
      </c>
      <c r="F281" s="8">
        <v>221275</v>
      </c>
      <c r="G281" s="10">
        <v>0.13</v>
      </c>
      <c r="H281" s="18" t="str">
        <f>IF(tbl_Ventas[[#This Row],[Cantidad]]&gt;=10,"Venta Alta","Venta Normal")</f>
        <v>Venta Normal</v>
      </c>
    </row>
    <row r="282" spans="1:8" ht="15.75" customHeight="1" x14ac:dyDescent="0.3">
      <c r="A282" s="1">
        <v>46027</v>
      </c>
      <c r="B282" s="2" t="s">
        <v>319</v>
      </c>
      <c r="C282" s="2" t="s">
        <v>5</v>
      </c>
      <c r="D282" s="2" t="s">
        <v>25</v>
      </c>
      <c r="E282" s="2">
        <v>4</v>
      </c>
      <c r="F282" s="8">
        <v>84144</v>
      </c>
      <c r="G282" s="10">
        <v>7.0000000000000007E-2</v>
      </c>
      <c r="H282" s="18" t="str">
        <f>IF(tbl_Ventas[[#This Row],[Cantidad]]&gt;=10,"Venta Alta","Venta Normal")</f>
        <v>Venta Normal</v>
      </c>
    </row>
    <row r="283" spans="1:8" ht="15.75" customHeight="1" x14ac:dyDescent="0.3">
      <c r="A283" s="1">
        <v>46027</v>
      </c>
      <c r="B283" s="2" t="s">
        <v>320</v>
      </c>
      <c r="C283" s="2" t="s">
        <v>22</v>
      </c>
      <c r="D283" s="2" t="s">
        <v>25</v>
      </c>
      <c r="E283" s="2">
        <v>1</v>
      </c>
      <c r="F283" s="8">
        <v>285257</v>
      </c>
      <c r="G283" s="10">
        <v>0.11</v>
      </c>
      <c r="H283" s="18" t="str">
        <f>IF(tbl_Ventas[[#This Row],[Cantidad]]&gt;=10,"Venta Alta","Venta Normal")</f>
        <v>Venta Normal</v>
      </c>
    </row>
    <row r="284" spans="1:8" ht="15.75" customHeight="1" x14ac:dyDescent="0.3">
      <c r="A284" s="1">
        <v>46027</v>
      </c>
      <c r="B284" s="2" t="s">
        <v>321</v>
      </c>
      <c r="C284" s="2" t="s">
        <v>5</v>
      </c>
      <c r="D284" s="2" t="s">
        <v>17</v>
      </c>
      <c r="E284" s="2">
        <v>6</v>
      </c>
      <c r="F284" s="8">
        <v>242229</v>
      </c>
      <c r="G284" s="10">
        <v>0.11</v>
      </c>
      <c r="H284" s="18" t="str">
        <f>IF(tbl_Ventas[[#This Row],[Cantidad]]&gt;=10,"Venta Alta","Venta Normal")</f>
        <v>Venta Normal</v>
      </c>
    </row>
    <row r="285" spans="1:8" ht="15.75" customHeight="1" x14ac:dyDescent="0.3">
      <c r="A285" s="1">
        <v>46027</v>
      </c>
      <c r="B285" s="2" t="s">
        <v>322</v>
      </c>
      <c r="C285" s="2" t="s">
        <v>5</v>
      </c>
      <c r="D285" s="2" t="s">
        <v>2</v>
      </c>
      <c r="E285" s="2">
        <v>2</v>
      </c>
      <c r="F285" s="8">
        <v>706739</v>
      </c>
      <c r="G285" s="10">
        <v>0.14000000000000001</v>
      </c>
      <c r="H285" s="18" t="str">
        <f>IF(tbl_Ventas[[#This Row],[Cantidad]]&gt;=10,"Venta Alta","Venta Normal")</f>
        <v>Venta Normal</v>
      </c>
    </row>
    <row r="286" spans="1:8" ht="15.75" customHeight="1" x14ac:dyDescent="0.3">
      <c r="A286" s="1">
        <v>46027</v>
      </c>
      <c r="B286" s="2" t="s">
        <v>323</v>
      </c>
      <c r="C286" s="2" t="s">
        <v>5</v>
      </c>
      <c r="D286" s="2" t="s">
        <v>17</v>
      </c>
      <c r="E286" s="2">
        <v>8</v>
      </c>
      <c r="F286" s="8">
        <v>159301</v>
      </c>
      <c r="G286" s="10">
        <v>0.04</v>
      </c>
      <c r="H286" s="18" t="str">
        <f>IF(tbl_Ventas[[#This Row],[Cantidad]]&gt;=10,"Venta Alta","Venta Normal")</f>
        <v>Venta Normal</v>
      </c>
    </row>
    <row r="287" spans="1:8" ht="15.75" customHeight="1" x14ac:dyDescent="0.3">
      <c r="A287" s="1">
        <v>46027</v>
      </c>
      <c r="B287" s="2" t="s">
        <v>324</v>
      </c>
      <c r="C287" s="2" t="s">
        <v>71</v>
      </c>
      <c r="D287" s="2" t="s">
        <v>51</v>
      </c>
      <c r="E287" s="2">
        <v>11</v>
      </c>
      <c r="F287" s="8">
        <v>424548</v>
      </c>
      <c r="G287" s="10">
        <v>0.11</v>
      </c>
      <c r="H287" s="18" t="str">
        <f>IF(tbl_Ventas[[#This Row],[Cantidad]]&gt;=10,"Venta Alta","Venta Normal")</f>
        <v>Venta Alta</v>
      </c>
    </row>
    <row r="288" spans="1:8" ht="15.75" customHeight="1" x14ac:dyDescent="0.3">
      <c r="A288" s="1">
        <v>46027</v>
      </c>
      <c r="B288" s="2" t="s">
        <v>305</v>
      </c>
      <c r="C288" s="2" t="s">
        <v>16</v>
      </c>
      <c r="D288" s="2" t="s">
        <v>13</v>
      </c>
      <c r="E288" s="2">
        <v>10</v>
      </c>
      <c r="F288" s="8">
        <v>256041</v>
      </c>
      <c r="G288" s="11">
        <v>0</v>
      </c>
      <c r="H288" s="17" t="str">
        <f>IF(tbl_Ventas[[#This Row],[Cantidad]]&gt;=10,"Venta Alta","Venta Normal")</f>
        <v>Venta Alta</v>
      </c>
    </row>
    <row r="289" spans="1:8" ht="15.75" customHeight="1" x14ac:dyDescent="0.3">
      <c r="A289" s="1">
        <v>46028</v>
      </c>
      <c r="B289" s="2" t="s">
        <v>325</v>
      </c>
      <c r="C289" s="2" t="s">
        <v>5</v>
      </c>
      <c r="D289" s="2" t="s">
        <v>13</v>
      </c>
      <c r="E289" s="2">
        <v>5</v>
      </c>
      <c r="F289" s="8">
        <v>506801</v>
      </c>
      <c r="G289" s="10">
        <v>0.1</v>
      </c>
      <c r="H289" s="18" t="str">
        <f>IF(tbl_Ventas[[#This Row],[Cantidad]]&gt;=10,"Venta Alta","Venta Normal")</f>
        <v>Venta Normal</v>
      </c>
    </row>
    <row r="290" spans="1:8" ht="15.75" customHeight="1" x14ac:dyDescent="0.3">
      <c r="A290" s="1">
        <v>46028</v>
      </c>
      <c r="B290" s="2" t="s">
        <v>326</v>
      </c>
      <c r="C290" s="2" t="s">
        <v>71</v>
      </c>
      <c r="D290" s="2" t="s">
        <v>51</v>
      </c>
      <c r="E290" s="2">
        <v>4</v>
      </c>
      <c r="F290" s="8">
        <v>633922</v>
      </c>
      <c r="G290" s="10">
        <v>0.06</v>
      </c>
      <c r="H290" s="18" t="str">
        <f>IF(tbl_Ventas[[#This Row],[Cantidad]]&gt;=10,"Venta Alta","Venta Normal")</f>
        <v>Venta Normal</v>
      </c>
    </row>
    <row r="291" spans="1:8" ht="15.75" customHeight="1" x14ac:dyDescent="0.3">
      <c r="A291" s="1">
        <v>46028</v>
      </c>
      <c r="B291" s="2" t="s">
        <v>327</v>
      </c>
      <c r="C291" s="2" t="s">
        <v>33</v>
      </c>
      <c r="D291" s="2" t="s">
        <v>2</v>
      </c>
      <c r="E291" s="2">
        <v>7</v>
      </c>
      <c r="F291" s="8">
        <v>385645</v>
      </c>
      <c r="G291" s="10">
        <v>0.09</v>
      </c>
      <c r="H291" s="18" t="str">
        <f>IF(tbl_Ventas[[#This Row],[Cantidad]]&gt;=10,"Venta Alta","Venta Normal")</f>
        <v>Venta Normal</v>
      </c>
    </row>
    <row r="292" spans="1:8" ht="15.75" customHeight="1" x14ac:dyDescent="0.3">
      <c r="A292" s="1">
        <v>46028</v>
      </c>
      <c r="B292" s="2" t="s">
        <v>328</v>
      </c>
      <c r="C292" s="2" t="s">
        <v>22</v>
      </c>
      <c r="D292" s="2" t="s">
        <v>51</v>
      </c>
      <c r="E292" s="2">
        <v>4</v>
      </c>
      <c r="F292" s="8">
        <v>760967</v>
      </c>
      <c r="G292" s="10">
        <v>0.1</v>
      </c>
      <c r="H292" s="18" t="str">
        <f>IF(tbl_Ventas[[#This Row],[Cantidad]]&gt;=10,"Venta Alta","Venta Normal")</f>
        <v>Venta Normal</v>
      </c>
    </row>
    <row r="293" spans="1:8" ht="15.75" customHeight="1" x14ac:dyDescent="0.3">
      <c r="A293" s="1">
        <v>46028</v>
      </c>
      <c r="B293" s="2" t="s">
        <v>329</v>
      </c>
      <c r="C293" s="2" t="s">
        <v>22</v>
      </c>
      <c r="D293" s="2" t="s">
        <v>17</v>
      </c>
      <c r="E293" s="2">
        <v>12</v>
      </c>
      <c r="F293" s="8">
        <v>69018</v>
      </c>
      <c r="G293" s="11">
        <v>0</v>
      </c>
      <c r="H293" s="17" t="str">
        <f>IF(tbl_Ventas[[#This Row],[Cantidad]]&gt;=10,"Venta Alta","Venta Normal")</f>
        <v>Venta Alta</v>
      </c>
    </row>
    <row r="294" spans="1:8" ht="15.75" customHeight="1" x14ac:dyDescent="0.3">
      <c r="A294" s="1">
        <v>46028</v>
      </c>
      <c r="B294" s="2" t="s">
        <v>330</v>
      </c>
      <c r="C294" s="2" t="s">
        <v>33</v>
      </c>
      <c r="D294" s="2" t="s">
        <v>51</v>
      </c>
      <c r="E294" s="2">
        <v>11</v>
      </c>
      <c r="F294" s="8">
        <v>371513</v>
      </c>
      <c r="G294" s="10">
        <v>0.05</v>
      </c>
      <c r="H294" s="18" t="str">
        <f>IF(tbl_Ventas[[#This Row],[Cantidad]]&gt;=10,"Venta Alta","Venta Normal")</f>
        <v>Venta Alta</v>
      </c>
    </row>
    <row r="295" spans="1:8" ht="15.75" customHeight="1" x14ac:dyDescent="0.3">
      <c r="A295" s="1">
        <v>46028</v>
      </c>
      <c r="B295" s="2" t="s">
        <v>331</v>
      </c>
      <c r="C295" s="2" t="s">
        <v>1</v>
      </c>
      <c r="D295" s="2" t="s">
        <v>17</v>
      </c>
      <c r="E295" s="2">
        <v>11</v>
      </c>
      <c r="F295" s="8">
        <v>568469</v>
      </c>
      <c r="G295" s="10">
        <v>0.11</v>
      </c>
      <c r="H295" s="18" t="str">
        <f>IF(tbl_Ventas[[#This Row],[Cantidad]]&gt;=10,"Venta Alta","Venta Normal")</f>
        <v>Venta Alta</v>
      </c>
    </row>
    <row r="296" spans="1:8" ht="15.75" customHeight="1" x14ac:dyDescent="0.3">
      <c r="A296" s="1">
        <v>46028</v>
      </c>
      <c r="B296" s="2" t="s">
        <v>332</v>
      </c>
      <c r="C296" s="2" t="s">
        <v>1</v>
      </c>
      <c r="D296" s="2" t="s">
        <v>25</v>
      </c>
      <c r="E296" s="2">
        <v>5</v>
      </c>
      <c r="F296" s="8">
        <v>101421</v>
      </c>
      <c r="G296" s="10">
        <v>0.12</v>
      </c>
      <c r="H296" s="18" t="str">
        <f>IF(tbl_Ventas[[#This Row],[Cantidad]]&gt;=10,"Venta Alta","Venta Normal")</f>
        <v>Venta Normal</v>
      </c>
    </row>
    <row r="297" spans="1:8" ht="15.75" customHeight="1" x14ac:dyDescent="0.3">
      <c r="A297" s="1">
        <v>46028</v>
      </c>
      <c r="B297" s="2" t="s">
        <v>333</v>
      </c>
      <c r="C297" s="2" t="s">
        <v>1</v>
      </c>
      <c r="D297" s="2" t="s">
        <v>51</v>
      </c>
      <c r="E297" s="2">
        <v>5</v>
      </c>
      <c r="F297" s="8">
        <v>86654</v>
      </c>
      <c r="G297" s="10">
        <v>0.04</v>
      </c>
      <c r="H297" s="18" t="str">
        <f>IF(tbl_Ventas[[#This Row],[Cantidad]]&gt;=10,"Venta Alta","Venta Normal")</f>
        <v>Venta Normal</v>
      </c>
    </row>
    <row r="298" spans="1:8" ht="15.75" customHeight="1" x14ac:dyDescent="0.3">
      <c r="A298" s="1">
        <v>46028</v>
      </c>
      <c r="B298" s="2" t="s">
        <v>334</v>
      </c>
      <c r="C298" s="2" t="s">
        <v>12</v>
      </c>
      <c r="D298" s="2" t="s">
        <v>25</v>
      </c>
      <c r="E298" s="2">
        <v>1</v>
      </c>
      <c r="F298" s="8">
        <v>791098</v>
      </c>
      <c r="G298" s="10">
        <v>0.02</v>
      </c>
      <c r="H298" s="18" t="str">
        <f>IF(tbl_Ventas[[#This Row],[Cantidad]]&gt;=10,"Venta Alta","Venta Normal")</f>
        <v>Venta Normal</v>
      </c>
    </row>
    <row r="299" spans="1:8" ht="15.75" customHeight="1" x14ac:dyDescent="0.3">
      <c r="A299" s="1">
        <v>46028</v>
      </c>
      <c r="B299" s="2" t="s">
        <v>335</v>
      </c>
      <c r="C299" s="2" t="s">
        <v>7</v>
      </c>
      <c r="D299" s="2" t="s">
        <v>13</v>
      </c>
      <c r="E299" s="2">
        <v>5</v>
      </c>
      <c r="F299" s="8">
        <v>403441</v>
      </c>
      <c r="G299" s="10">
        <v>0.06</v>
      </c>
      <c r="H299" s="18" t="str">
        <f>IF(tbl_Ventas[[#This Row],[Cantidad]]&gt;=10,"Venta Alta","Venta Normal")</f>
        <v>Venta Normal</v>
      </c>
    </row>
    <row r="300" spans="1:8" ht="15.75" customHeight="1" x14ac:dyDescent="0.3">
      <c r="A300" s="1">
        <v>46028</v>
      </c>
      <c r="B300" s="2" t="s">
        <v>336</v>
      </c>
      <c r="C300" s="2" t="s">
        <v>22</v>
      </c>
      <c r="D300" s="2" t="s">
        <v>17</v>
      </c>
      <c r="E300" s="2">
        <v>12</v>
      </c>
      <c r="F300" s="8">
        <v>562095</v>
      </c>
      <c r="G300" s="10">
        <v>0.08</v>
      </c>
      <c r="H300" s="18" t="str">
        <f>IF(tbl_Ventas[[#This Row],[Cantidad]]&gt;=10,"Venta Alta","Venta Normal")</f>
        <v>Venta Alta</v>
      </c>
    </row>
    <row r="301" spans="1:8" ht="15.75" customHeight="1" x14ac:dyDescent="0.3">
      <c r="A301" s="1">
        <v>46028</v>
      </c>
      <c r="B301" s="2" t="s">
        <v>337</v>
      </c>
      <c r="C301" s="2" t="s">
        <v>22</v>
      </c>
      <c r="D301" s="2" t="s">
        <v>2</v>
      </c>
      <c r="E301" s="2">
        <v>4</v>
      </c>
      <c r="F301" s="8">
        <v>253723</v>
      </c>
      <c r="G301" s="10">
        <v>0.1</v>
      </c>
      <c r="H301" s="18" t="str">
        <f>IF(tbl_Ventas[[#This Row],[Cantidad]]&gt;=10,"Venta Alta","Venta Normal")</f>
        <v>Venta Normal</v>
      </c>
    </row>
    <row r="302" spans="1:8" ht="15.75" customHeight="1" x14ac:dyDescent="0.3">
      <c r="A302" s="1">
        <v>46028</v>
      </c>
      <c r="B302" s="2" t="s">
        <v>338</v>
      </c>
      <c r="C302" s="2" t="s">
        <v>12</v>
      </c>
      <c r="D302" s="2" t="s">
        <v>25</v>
      </c>
      <c r="E302" s="2">
        <v>4</v>
      </c>
      <c r="F302" s="8">
        <v>290332</v>
      </c>
      <c r="G302" s="10">
        <v>0.04</v>
      </c>
      <c r="H302" s="18" t="str">
        <f>IF(tbl_Ventas[[#This Row],[Cantidad]]&gt;=10,"Venta Alta","Venta Normal")</f>
        <v>Venta Normal</v>
      </c>
    </row>
    <row r="303" spans="1:8" ht="15.75" customHeight="1" x14ac:dyDescent="0.3">
      <c r="A303" s="1">
        <v>46028</v>
      </c>
      <c r="B303" s="2" t="s">
        <v>339</v>
      </c>
      <c r="C303" s="2" t="s">
        <v>7</v>
      </c>
      <c r="D303" s="2" t="s">
        <v>51</v>
      </c>
      <c r="E303" s="2">
        <v>5</v>
      </c>
      <c r="F303" s="8">
        <v>308704</v>
      </c>
      <c r="G303" s="10">
        <v>0.09</v>
      </c>
      <c r="H303" s="18" t="str">
        <f>IF(tbl_Ventas[[#This Row],[Cantidad]]&gt;=10,"Venta Alta","Venta Normal")</f>
        <v>Venta Normal</v>
      </c>
    </row>
    <row r="304" spans="1:8" ht="15.75" customHeight="1" x14ac:dyDescent="0.3">
      <c r="A304" s="1">
        <v>46028</v>
      </c>
      <c r="B304" s="2" t="s">
        <v>340</v>
      </c>
      <c r="C304" s="2" t="s">
        <v>1</v>
      </c>
      <c r="D304" s="2" t="s">
        <v>25</v>
      </c>
      <c r="E304" s="2">
        <v>2</v>
      </c>
      <c r="F304" s="8">
        <v>598531</v>
      </c>
      <c r="G304" s="10">
        <v>0.04</v>
      </c>
      <c r="H304" s="18" t="str">
        <f>IF(tbl_Ventas[[#This Row],[Cantidad]]&gt;=10,"Venta Alta","Venta Normal")</f>
        <v>Venta Normal</v>
      </c>
    </row>
    <row r="305" spans="1:8" ht="15.75" customHeight="1" x14ac:dyDescent="0.3">
      <c r="A305" s="1">
        <v>46028</v>
      </c>
      <c r="B305" s="2" t="s">
        <v>341</v>
      </c>
      <c r="C305" s="2" t="s">
        <v>16</v>
      </c>
      <c r="D305" s="2" t="s">
        <v>17</v>
      </c>
      <c r="E305" s="2">
        <v>4</v>
      </c>
      <c r="F305" s="8">
        <v>607070</v>
      </c>
      <c r="G305" s="10">
        <v>7.0000000000000007E-2</v>
      </c>
      <c r="H305" s="18" t="str">
        <f>IF(tbl_Ventas[[#This Row],[Cantidad]]&gt;=10,"Venta Alta","Venta Normal")</f>
        <v>Venta Normal</v>
      </c>
    </row>
    <row r="306" spans="1:8" ht="15.75" customHeight="1" x14ac:dyDescent="0.3">
      <c r="A306" s="1">
        <v>46028</v>
      </c>
      <c r="B306" s="2" t="s">
        <v>342</v>
      </c>
      <c r="C306" s="2" t="s">
        <v>5</v>
      </c>
      <c r="D306" s="2" t="s">
        <v>13</v>
      </c>
      <c r="E306" s="2">
        <v>11</v>
      </c>
      <c r="F306" s="8">
        <v>565292</v>
      </c>
      <c r="G306" s="10">
        <v>0.06</v>
      </c>
      <c r="H306" s="18" t="str">
        <f>IF(tbl_Ventas[[#This Row],[Cantidad]]&gt;=10,"Venta Alta","Venta Normal")</f>
        <v>Venta Alta</v>
      </c>
    </row>
    <row r="307" spans="1:8" ht="15.75" customHeight="1" x14ac:dyDescent="0.3">
      <c r="A307" s="1">
        <v>46028</v>
      </c>
      <c r="B307" s="2" t="s">
        <v>343</v>
      </c>
      <c r="C307" s="2" t="s">
        <v>33</v>
      </c>
      <c r="D307" s="2" t="s">
        <v>51</v>
      </c>
      <c r="E307" s="2">
        <v>12</v>
      </c>
      <c r="F307" s="8">
        <v>434223</v>
      </c>
      <c r="G307" s="11">
        <v>0</v>
      </c>
      <c r="H307" s="17" t="str">
        <f>IF(tbl_Ventas[[#This Row],[Cantidad]]&gt;=10,"Venta Alta","Venta Normal")</f>
        <v>Venta Alta</v>
      </c>
    </row>
    <row r="308" spans="1:8" ht="15.75" customHeight="1" x14ac:dyDescent="0.3">
      <c r="A308" s="1">
        <v>46028</v>
      </c>
      <c r="B308" s="2" t="s">
        <v>344</v>
      </c>
      <c r="C308" s="2" t="s">
        <v>5</v>
      </c>
      <c r="D308" s="2" t="s">
        <v>13</v>
      </c>
      <c r="E308" s="2">
        <v>11</v>
      </c>
      <c r="F308" s="8">
        <v>538887</v>
      </c>
      <c r="G308" s="10">
        <v>0.03</v>
      </c>
      <c r="H308" s="18" t="str">
        <f>IF(tbl_Ventas[[#This Row],[Cantidad]]&gt;=10,"Venta Alta","Venta Normal")</f>
        <v>Venta Alta</v>
      </c>
    </row>
    <row r="309" spans="1:8" ht="15.75" customHeight="1" x14ac:dyDescent="0.3">
      <c r="A309" s="1">
        <v>46028</v>
      </c>
      <c r="B309" s="2" t="s">
        <v>345</v>
      </c>
      <c r="C309" s="2" t="s">
        <v>22</v>
      </c>
      <c r="D309" s="2" t="s">
        <v>25</v>
      </c>
      <c r="E309" s="2">
        <v>5</v>
      </c>
      <c r="F309" s="8">
        <v>336462</v>
      </c>
      <c r="G309" s="10">
        <v>0.03</v>
      </c>
      <c r="H309" s="18" t="str">
        <f>IF(tbl_Ventas[[#This Row],[Cantidad]]&gt;=10,"Venta Alta","Venta Normal")</f>
        <v>Venta Normal</v>
      </c>
    </row>
    <row r="310" spans="1:8" ht="15.75" customHeight="1" x14ac:dyDescent="0.3">
      <c r="A310" s="1">
        <v>46028</v>
      </c>
      <c r="B310" s="2" t="s">
        <v>346</v>
      </c>
      <c r="C310" s="2" t="s">
        <v>7</v>
      </c>
      <c r="D310" s="2" t="s">
        <v>51</v>
      </c>
      <c r="E310" s="2">
        <v>3</v>
      </c>
      <c r="F310" s="8">
        <v>779023</v>
      </c>
      <c r="G310" s="10">
        <v>0.06</v>
      </c>
      <c r="H310" s="18" t="str">
        <f>IF(tbl_Ventas[[#This Row],[Cantidad]]&gt;=10,"Venta Alta","Venta Normal")</f>
        <v>Venta Normal</v>
      </c>
    </row>
    <row r="311" spans="1:8" ht="15.75" customHeight="1" x14ac:dyDescent="0.3">
      <c r="A311" s="1">
        <v>46028</v>
      </c>
      <c r="B311" s="2" t="s">
        <v>347</v>
      </c>
      <c r="C311" s="2" t="s">
        <v>12</v>
      </c>
      <c r="D311" s="2" t="s">
        <v>2</v>
      </c>
      <c r="E311" s="2">
        <v>9</v>
      </c>
      <c r="F311" s="8">
        <v>728548</v>
      </c>
      <c r="G311" s="11">
        <v>0</v>
      </c>
      <c r="H311" s="17" t="str">
        <f>IF(tbl_Ventas[[#This Row],[Cantidad]]&gt;=10,"Venta Alta","Venta Normal")</f>
        <v>Venta Normal</v>
      </c>
    </row>
    <row r="312" spans="1:8" ht="15.75" customHeight="1" x14ac:dyDescent="0.3">
      <c r="A312" s="1">
        <v>46028</v>
      </c>
      <c r="B312" s="2" t="s">
        <v>348</v>
      </c>
      <c r="C312" s="2" t="s">
        <v>7</v>
      </c>
      <c r="D312" s="2" t="s">
        <v>17</v>
      </c>
      <c r="E312" s="2">
        <v>12</v>
      </c>
      <c r="F312" s="8">
        <v>568992</v>
      </c>
      <c r="G312" s="10">
        <v>0.03</v>
      </c>
      <c r="H312" s="18" t="str">
        <f>IF(tbl_Ventas[[#This Row],[Cantidad]]&gt;=10,"Venta Alta","Venta Normal")</f>
        <v>Venta Alta</v>
      </c>
    </row>
    <row r="313" spans="1:8" ht="15.75" customHeight="1" x14ac:dyDescent="0.3">
      <c r="A313" s="1">
        <v>46028</v>
      </c>
      <c r="B313" s="2" t="s">
        <v>349</v>
      </c>
      <c r="C313" s="2" t="s">
        <v>22</v>
      </c>
      <c r="D313" s="2" t="s">
        <v>17</v>
      </c>
      <c r="E313" s="2">
        <v>10</v>
      </c>
      <c r="F313" s="8">
        <v>773819</v>
      </c>
      <c r="G313" s="10">
        <v>0.1</v>
      </c>
      <c r="H313" s="18" t="str">
        <f>IF(tbl_Ventas[[#This Row],[Cantidad]]&gt;=10,"Venta Alta","Venta Normal")</f>
        <v>Venta Alta</v>
      </c>
    </row>
    <row r="314" spans="1:8" ht="15.75" customHeight="1" x14ac:dyDescent="0.3">
      <c r="A314" s="1">
        <v>46028</v>
      </c>
      <c r="B314" s="2" t="s">
        <v>350</v>
      </c>
      <c r="C314" s="2" t="s">
        <v>33</v>
      </c>
      <c r="D314" s="2" t="s">
        <v>13</v>
      </c>
      <c r="E314" s="2">
        <v>4</v>
      </c>
      <c r="F314" s="8">
        <v>536046</v>
      </c>
      <c r="G314" s="10">
        <v>7.0000000000000007E-2</v>
      </c>
      <c r="H314" s="18" t="str">
        <f>IF(tbl_Ventas[[#This Row],[Cantidad]]&gt;=10,"Venta Alta","Venta Normal")</f>
        <v>Venta Normal</v>
      </c>
    </row>
    <row r="315" spans="1:8" ht="15.75" customHeight="1" x14ac:dyDescent="0.3">
      <c r="A315" s="1">
        <v>46028</v>
      </c>
      <c r="B315" s="2" t="s">
        <v>351</v>
      </c>
      <c r="C315" s="2" t="s">
        <v>33</v>
      </c>
      <c r="D315" s="2" t="s">
        <v>17</v>
      </c>
      <c r="E315" s="2">
        <v>11</v>
      </c>
      <c r="F315" s="8">
        <v>811035</v>
      </c>
      <c r="G315" s="11">
        <v>0</v>
      </c>
      <c r="H315" s="17" t="str">
        <f>IF(tbl_Ventas[[#This Row],[Cantidad]]&gt;=10,"Venta Alta","Venta Normal")</f>
        <v>Venta Alta</v>
      </c>
    </row>
    <row r="316" spans="1:8" ht="15.75" customHeight="1" x14ac:dyDescent="0.3">
      <c r="A316" s="1">
        <v>46028</v>
      </c>
      <c r="B316" s="2" t="s">
        <v>352</v>
      </c>
      <c r="C316" s="2" t="s">
        <v>1</v>
      </c>
      <c r="D316" s="2" t="s">
        <v>51</v>
      </c>
      <c r="E316" s="2">
        <v>6</v>
      </c>
      <c r="F316" s="8">
        <v>398111</v>
      </c>
      <c r="G316" s="11">
        <v>0</v>
      </c>
      <c r="H316" s="17" t="str">
        <f>IF(tbl_Ventas[[#This Row],[Cantidad]]&gt;=10,"Venta Alta","Venta Normal")</f>
        <v>Venta Normal</v>
      </c>
    </row>
    <row r="317" spans="1:8" ht="15.75" customHeight="1" x14ac:dyDescent="0.3">
      <c r="A317" s="1">
        <v>46028</v>
      </c>
      <c r="B317" s="2" t="s">
        <v>353</v>
      </c>
      <c r="C317" s="2" t="s">
        <v>1</v>
      </c>
      <c r="D317" s="2" t="s">
        <v>13</v>
      </c>
      <c r="E317" s="2">
        <v>9</v>
      </c>
      <c r="F317" s="8">
        <v>51665</v>
      </c>
      <c r="G317" s="10">
        <v>0.14000000000000001</v>
      </c>
      <c r="H317" s="18" t="str">
        <f>IF(tbl_Ventas[[#This Row],[Cantidad]]&gt;=10,"Venta Alta","Venta Normal")</f>
        <v>Venta Normal</v>
      </c>
    </row>
    <row r="318" spans="1:8" ht="15.75" customHeight="1" x14ac:dyDescent="0.3">
      <c r="A318" s="1">
        <v>46028</v>
      </c>
      <c r="B318" s="2" t="s">
        <v>354</v>
      </c>
      <c r="C318" s="2" t="s">
        <v>5</v>
      </c>
      <c r="D318" s="2" t="s">
        <v>17</v>
      </c>
      <c r="E318" s="2">
        <v>2</v>
      </c>
      <c r="F318" s="8">
        <v>641566</v>
      </c>
      <c r="G318" s="10">
        <v>0.02</v>
      </c>
      <c r="H318" s="18" t="str">
        <f>IF(tbl_Ventas[[#This Row],[Cantidad]]&gt;=10,"Venta Alta","Venta Normal")</f>
        <v>Venta Normal</v>
      </c>
    </row>
    <row r="319" spans="1:8" ht="15.75" customHeight="1" x14ac:dyDescent="0.3">
      <c r="A319" s="1">
        <v>46028</v>
      </c>
      <c r="B319" s="2" t="s">
        <v>355</v>
      </c>
      <c r="C319" s="2" t="s">
        <v>22</v>
      </c>
      <c r="D319" s="2" t="s">
        <v>51</v>
      </c>
      <c r="E319" s="2">
        <v>11</v>
      </c>
      <c r="F319" s="8">
        <v>393768</v>
      </c>
      <c r="G319" s="10">
        <v>0.11</v>
      </c>
      <c r="H319" s="18" t="str">
        <f>IF(tbl_Ventas[[#This Row],[Cantidad]]&gt;=10,"Venta Alta","Venta Normal")</f>
        <v>Venta Alta</v>
      </c>
    </row>
    <row r="320" spans="1:8" ht="15.75" customHeight="1" x14ac:dyDescent="0.3">
      <c r="A320" s="1">
        <v>46028</v>
      </c>
      <c r="B320" s="2" t="s">
        <v>356</v>
      </c>
      <c r="C320" s="2" t="s">
        <v>16</v>
      </c>
      <c r="D320" s="2" t="s">
        <v>2</v>
      </c>
      <c r="E320" s="2">
        <v>3</v>
      </c>
      <c r="F320" s="8">
        <v>49797</v>
      </c>
      <c r="G320" s="10">
        <v>0.1</v>
      </c>
      <c r="H320" s="18" t="str">
        <f>IF(tbl_Ventas[[#This Row],[Cantidad]]&gt;=10,"Venta Alta","Venta Normal")</f>
        <v>Venta Normal</v>
      </c>
    </row>
    <row r="321" spans="1:8" ht="15.75" customHeight="1" x14ac:dyDescent="0.3">
      <c r="A321" s="1">
        <v>46028</v>
      </c>
      <c r="B321" s="2" t="s">
        <v>357</v>
      </c>
      <c r="C321" s="2" t="s">
        <v>12</v>
      </c>
      <c r="D321" s="2" t="s">
        <v>25</v>
      </c>
      <c r="E321" s="2">
        <v>8</v>
      </c>
      <c r="F321" s="8">
        <v>676914</v>
      </c>
      <c r="G321" s="10">
        <v>0.06</v>
      </c>
      <c r="H321" s="18" t="str">
        <f>IF(tbl_Ventas[[#This Row],[Cantidad]]&gt;=10,"Venta Alta","Venta Normal")</f>
        <v>Venta Normal</v>
      </c>
    </row>
    <row r="322" spans="1:8" ht="15.75" customHeight="1" x14ac:dyDescent="0.3">
      <c r="A322" s="1">
        <v>46028</v>
      </c>
      <c r="B322" s="2" t="s">
        <v>358</v>
      </c>
      <c r="C322" s="2" t="s">
        <v>71</v>
      </c>
      <c r="D322" s="2" t="s">
        <v>17</v>
      </c>
      <c r="E322" s="2">
        <v>2</v>
      </c>
      <c r="F322" s="8">
        <v>773087</v>
      </c>
      <c r="G322" s="11">
        <v>0</v>
      </c>
      <c r="H322" s="17" t="str">
        <f>IF(tbl_Ventas[[#This Row],[Cantidad]]&gt;=10,"Venta Alta","Venta Normal")</f>
        <v>Venta Normal</v>
      </c>
    </row>
    <row r="323" spans="1:8" ht="15.75" customHeight="1" x14ac:dyDescent="0.3">
      <c r="A323" s="1">
        <v>46028</v>
      </c>
      <c r="B323" s="2" t="s">
        <v>359</v>
      </c>
      <c r="C323" s="2" t="s">
        <v>1</v>
      </c>
      <c r="D323" s="2" t="s">
        <v>2</v>
      </c>
      <c r="E323" s="2">
        <v>4</v>
      </c>
      <c r="F323" s="8">
        <v>504312</v>
      </c>
      <c r="G323" s="10">
        <v>0.05</v>
      </c>
      <c r="H323" s="18" t="str">
        <f>IF(tbl_Ventas[[#This Row],[Cantidad]]&gt;=10,"Venta Alta","Venta Normal")</f>
        <v>Venta Normal</v>
      </c>
    </row>
    <row r="324" spans="1:8" ht="15.75" customHeight="1" x14ac:dyDescent="0.3">
      <c r="A324" s="1">
        <v>46028</v>
      </c>
      <c r="B324" s="2" t="s">
        <v>360</v>
      </c>
      <c r="C324" s="2" t="s">
        <v>5</v>
      </c>
      <c r="D324" s="2" t="s">
        <v>17</v>
      </c>
      <c r="E324" s="2">
        <v>11</v>
      </c>
      <c r="F324" s="8">
        <v>698236</v>
      </c>
      <c r="G324" s="10">
        <v>0.03</v>
      </c>
      <c r="H324" s="18" t="str">
        <f>IF(tbl_Ventas[[#This Row],[Cantidad]]&gt;=10,"Venta Alta","Venta Normal")</f>
        <v>Venta Alta</v>
      </c>
    </row>
    <row r="325" spans="1:8" ht="15.75" customHeight="1" x14ac:dyDescent="0.3">
      <c r="A325" s="1">
        <v>46028</v>
      </c>
      <c r="B325" s="2" t="s">
        <v>361</v>
      </c>
      <c r="C325" s="2" t="s">
        <v>16</v>
      </c>
      <c r="D325" s="2" t="s">
        <v>13</v>
      </c>
      <c r="E325" s="2">
        <v>9</v>
      </c>
      <c r="F325" s="8">
        <v>368185</v>
      </c>
      <c r="G325" s="10">
        <v>0.02</v>
      </c>
      <c r="H325" s="18" t="str">
        <f>IF(tbl_Ventas[[#This Row],[Cantidad]]&gt;=10,"Venta Alta","Venta Normal")</f>
        <v>Venta Normal</v>
      </c>
    </row>
    <row r="326" spans="1:8" ht="15.75" customHeight="1" x14ac:dyDescent="0.3">
      <c r="A326" s="1">
        <v>46028</v>
      </c>
      <c r="B326" s="2" t="s">
        <v>362</v>
      </c>
      <c r="C326" s="2" t="s">
        <v>71</v>
      </c>
      <c r="D326" s="2" t="s">
        <v>13</v>
      </c>
      <c r="E326" s="2">
        <v>6</v>
      </c>
      <c r="F326" s="8">
        <v>103836</v>
      </c>
      <c r="G326" s="11">
        <v>0</v>
      </c>
      <c r="H326" s="17" t="str">
        <f>IF(tbl_Ventas[[#This Row],[Cantidad]]&gt;=10,"Venta Alta","Venta Normal")</f>
        <v>Venta Normal</v>
      </c>
    </row>
    <row r="327" spans="1:8" ht="15.75" customHeight="1" x14ac:dyDescent="0.3">
      <c r="A327" s="1">
        <v>46028</v>
      </c>
      <c r="B327" s="2" t="s">
        <v>363</v>
      </c>
      <c r="C327" s="2" t="s">
        <v>16</v>
      </c>
      <c r="D327" s="2" t="s">
        <v>17</v>
      </c>
      <c r="E327" s="2">
        <v>1</v>
      </c>
      <c r="F327" s="8">
        <v>845457</v>
      </c>
      <c r="G327" s="10">
        <v>0.14000000000000001</v>
      </c>
      <c r="H327" s="18" t="str">
        <f>IF(tbl_Ventas[[#This Row],[Cantidad]]&gt;=10,"Venta Alta","Venta Normal")</f>
        <v>Venta Normal</v>
      </c>
    </row>
    <row r="328" spans="1:8" ht="15.75" customHeight="1" x14ac:dyDescent="0.3">
      <c r="A328" s="1">
        <v>46028</v>
      </c>
      <c r="B328" s="2" t="s">
        <v>364</v>
      </c>
      <c r="C328" s="2" t="s">
        <v>12</v>
      </c>
      <c r="D328" s="2" t="s">
        <v>25</v>
      </c>
      <c r="E328" s="2">
        <v>4</v>
      </c>
      <c r="F328" s="8">
        <v>307400</v>
      </c>
      <c r="G328" s="10">
        <v>0.11</v>
      </c>
      <c r="H328" s="18" t="str">
        <f>IF(tbl_Ventas[[#This Row],[Cantidad]]&gt;=10,"Venta Alta","Venta Normal")</f>
        <v>Venta Normal</v>
      </c>
    </row>
    <row r="329" spans="1:8" ht="15.75" customHeight="1" x14ac:dyDescent="0.3">
      <c r="A329" s="1">
        <v>46028</v>
      </c>
      <c r="B329" s="2" t="s">
        <v>365</v>
      </c>
      <c r="C329" s="2" t="s">
        <v>1</v>
      </c>
      <c r="D329" s="2" t="s">
        <v>17</v>
      </c>
      <c r="E329" s="2">
        <v>5</v>
      </c>
      <c r="F329" s="8">
        <v>358879</v>
      </c>
      <c r="G329" s="10">
        <v>0.13</v>
      </c>
      <c r="H329" s="18" t="str">
        <f>IF(tbl_Ventas[[#This Row],[Cantidad]]&gt;=10,"Venta Alta","Venta Normal")</f>
        <v>Venta Normal</v>
      </c>
    </row>
    <row r="330" spans="1:8" ht="15.75" customHeight="1" x14ac:dyDescent="0.3">
      <c r="A330" s="1">
        <v>46028</v>
      </c>
      <c r="B330" s="2" t="s">
        <v>366</v>
      </c>
      <c r="C330" s="2" t="s">
        <v>22</v>
      </c>
      <c r="D330" s="2" t="s">
        <v>2</v>
      </c>
      <c r="E330" s="2">
        <v>4</v>
      </c>
      <c r="F330" s="8">
        <v>661055</v>
      </c>
      <c r="G330" s="10">
        <v>0.11</v>
      </c>
      <c r="H330" s="18" t="str">
        <f>IF(tbl_Ventas[[#This Row],[Cantidad]]&gt;=10,"Venta Alta","Venta Normal")</f>
        <v>Venta Normal</v>
      </c>
    </row>
    <row r="331" spans="1:8" ht="15.75" customHeight="1" x14ac:dyDescent="0.3">
      <c r="A331" s="1">
        <v>46028</v>
      </c>
      <c r="B331" s="2" t="s">
        <v>367</v>
      </c>
      <c r="C331" s="2" t="s">
        <v>7</v>
      </c>
      <c r="D331" s="2" t="s">
        <v>2</v>
      </c>
      <c r="E331" s="2">
        <v>12</v>
      </c>
      <c r="F331" s="8">
        <v>148980</v>
      </c>
      <c r="G331" s="10">
        <v>0.13</v>
      </c>
      <c r="H331" s="18" t="str">
        <f>IF(tbl_Ventas[[#This Row],[Cantidad]]&gt;=10,"Venta Alta","Venta Normal")</f>
        <v>Venta Alta</v>
      </c>
    </row>
    <row r="332" spans="1:8" ht="15.75" customHeight="1" x14ac:dyDescent="0.3">
      <c r="A332" s="1">
        <v>46029</v>
      </c>
      <c r="B332" s="2" t="s">
        <v>368</v>
      </c>
      <c r="C332" s="2" t="s">
        <v>33</v>
      </c>
      <c r="D332" s="2" t="s">
        <v>25</v>
      </c>
      <c r="E332" s="2">
        <v>5</v>
      </c>
      <c r="F332" s="8">
        <v>292879</v>
      </c>
      <c r="G332" s="11">
        <v>0</v>
      </c>
      <c r="H332" s="17" t="str">
        <f>IF(tbl_Ventas[[#This Row],[Cantidad]]&gt;=10,"Venta Alta","Venta Normal")</f>
        <v>Venta Normal</v>
      </c>
    </row>
    <row r="333" spans="1:8" ht="15.75" customHeight="1" x14ac:dyDescent="0.3">
      <c r="A333" s="1">
        <v>46029</v>
      </c>
      <c r="B333" s="2" t="s">
        <v>369</v>
      </c>
      <c r="C333" s="2" t="s">
        <v>71</v>
      </c>
      <c r="D333" s="2" t="s">
        <v>2</v>
      </c>
      <c r="E333" s="2">
        <v>7</v>
      </c>
      <c r="F333" s="8">
        <v>823246</v>
      </c>
      <c r="G333" s="10">
        <v>0.08</v>
      </c>
      <c r="H333" s="18" t="str">
        <f>IF(tbl_Ventas[[#This Row],[Cantidad]]&gt;=10,"Venta Alta","Venta Normal")</f>
        <v>Venta Normal</v>
      </c>
    </row>
    <row r="334" spans="1:8" ht="15.75" customHeight="1" x14ac:dyDescent="0.3">
      <c r="A334" s="1">
        <v>46029</v>
      </c>
      <c r="B334" s="2" t="s">
        <v>370</v>
      </c>
      <c r="C334" s="2" t="s">
        <v>22</v>
      </c>
      <c r="D334" s="2" t="s">
        <v>25</v>
      </c>
      <c r="E334" s="2">
        <v>7</v>
      </c>
      <c r="F334" s="8">
        <v>91050</v>
      </c>
      <c r="G334" s="11">
        <v>0</v>
      </c>
      <c r="H334" s="17" t="str">
        <f>IF(tbl_Ventas[[#This Row],[Cantidad]]&gt;=10,"Venta Alta","Venta Normal")</f>
        <v>Venta Normal</v>
      </c>
    </row>
    <row r="335" spans="1:8" ht="15.75" customHeight="1" x14ac:dyDescent="0.3">
      <c r="A335" s="1">
        <v>46029</v>
      </c>
      <c r="B335" s="2" t="s">
        <v>371</v>
      </c>
      <c r="C335" s="2" t="s">
        <v>71</v>
      </c>
      <c r="D335" s="2" t="s">
        <v>51</v>
      </c>
      <c r="E335" s="2">
        <v>12</v>
      </c>
      <c r="F335" s="8">
        <v>825573</v>
      </c>
      <c r="G335" s="10">
        <v>0.09</v>
      </c>
      <c r="H335" s="18" t="str">
        <f>IF(tbl_Ventas[[#This Row],[Cantidad]]&gt;=10,"Venta Alta","Venta Normal")</f>
        <v>Venta Alta</v>
      </c>
    </row>
    <row r="336" spans="1:8" ht="15.75" customHeight="1" x14ac:dyDescent="0.3">
      <c r="A336" s="1">
        <v>46029</v>
      </c>
      <c r="B336" s="2" t="s">
        <v>372</v>
      </c>
      <c r="C336" s="2" t="s">
        <v>33</v>
      </c>
      <c r="D336" s="2" t="s">
        <v>13</v>
      </c>
      <c r="E336" s="2">
        <v>8</v>
      </c>
      <c r="F336" s="8">
        <v>149822</v>
      </c>
      <c r="G336" s="10">
        <v>0.08</v>
      </c>
      <c r="H336" s="18" t="str">
        <f>IF(tbl_Ventas[[#This Row],[Cantidad]]&gt;=10,"Venta Alta","Venta Normal")</f>
        <v>Venta Normal</v>
      </c>
    </row>
    <row r="337" spans="1:8" ht="15.75" customHeight="1" x14ac:dyDescent="0.3">
      <c r="A337" s="1">
        <v>46029</v>
      </c>
      <c r="B337" s="2" t="s">
        <v>373</v>
      </c>
      <c r="C337" s="2" t="s">
        <v>16</v>
      </c>
      <c r="D337" s="2" t="s">
        <v>17</v>
      </c>
      <c r="E337" s="2">
        <v>10</v>
      </c>
      <c r="F337" s="8">
        <v>677339</v>
      </c>
      <c r="G337" s="10">
        <v>0.1</v>
      </c>
      <c r="H337" s="18" t="str">
        <f>IF(tbl_Ventas[[#This Row],[Cantidad]]&gt;=10,"Venta Alta","Venta Normal")</f>
        <v>Venta Alta</v>
      </c>
    </row>
    <row r="338" spans="1:8" ht="15.75" customHeight="1" x14ac:dyDescent="0.3">
      <c r="A338" s="1">
        <v>46029</v>
      </c>
      <c r="B338" s="2" t="s">
        <v>374</v>
      </c>
      <c r="C338" s="2" t="s">
        <v>5</v>
      </c>
      <c r="D338" s="2" t="s">
        <v>51</v>
      </c>
      <c r="E338" s="2">
        <v>5</v>
      </c>
      <c r="F338" s="8">
        <v>245660</v>
      </c>
      <c r="G338" s="10">
        <v>0.06</v>
      </c>
      <c r="H338" s="18" t="str">
        <f>IF(tbl_Ventas[[#This Row],[Cantidad]]&gt;=10,"Venta Alta","Venta Normal")</f>
        <v>Venta Normal</v>
      </c>
    </row>
    <row r="339" spans="1:8" ht="15.75" customHeight="1" x14ac:dyDescent="0.3">
      <c r="A339" s="1">
        <v>46029</v>
      </c>
      <c r="B339" s="2" t="s">
        <v>375</v>
      </c>
      <c r="C339" s="2" t="s">
        <v>33</v>
      </c>
      <c r="D339" s="2" t="s">
        <v>51</v>
      </c>
      <c r="E339" s="2">
        <v>2</v>
      </c>
      <c r="F339" s="8">
        <v>488785</v>
      </c>
      <c r="G339" s="11">
        <v>0</v>
      </c>
      <c r="H339" s="17" t="str">
        <f>IF(tbl_Ventas[[#This Row],[Cantidad]]&gt;=10,"Venta Alta","Venta Normal")</f>
        <v>Venta Normal</v>
      </c>
    </row>
    <row r="340" spans="1:8" ht="15.75" customHeight="1" x14ac:dyDescent="0.3">
      <c r="A340" s="1">
        <v>46029</v>
      </c>
      <c r="B340" s="2" t="s">
        <v>376</v>
      </c>
      <c r="C340" s="2" t="s">
        <v>12</v>
      </c>
      <c r="D340" s="2" t="s">
        <v>13</v>
      </c>
      <c r="E340" s="2">
        <v>4</v>
      </c>
      <c r="F340" s="8">
        <v>674697</v>
      </c>
      <c r="G340" s="10">
        <v>7.0000000000000007E-2</v>
      </c>
      <c r="H340" s="18" t="str">
        <f>IF(tbl_Ventas[[#This Row],[Cantidad]]&gt;=10,"Venta Alta","Venta Normal")</f>
        <v>Venta Normal</v>
      </c>
    </row>
    <row r="341" spans="1:8" ht="15.75" customHeight="1" x14ac:dyDescent="0.3">
      <c r="A341" s="1">
        <v>46029</v>
      </c>
      <c r="B341" s="2" t="s">
        <v>377</v>
      </c>
      <c r="C341" s="2" t="s">
        <v>1</v>
      </c>
      <c r="D341" s="2" t="s">
        <v>2</v>
      </c>
      <c r="E341" s="2">
        <v>4</v>
      </c>
      <c r="F341" s="8">
        <v>492503</v>
      </c>
      <c r="G341" s="10">
        <v>7.0000000000000007E-2</v>
      </c>
      <c r="H341" s="18" t="str">
        <f>IF(tbl_Ventas[[#This Row],[Cantidad]]&gt;=10,"Venta Alta","Venta Normal")</f>
        <v>Venta Normal</v>
      </c>
    </row>
    <row r="342" spans="1:8" ht="15.75" customHeight="1" x14ac:dyDescent="0.3">
      <c r="A342" s="1">
        <v>46029</v>
      </c>
      <c r="B342" s="2" t="s">
        <v>378</v>
      </c>
      <c r="C342" s="2" t="s">
        <v>7</v>
      </c>
      <c r="D342" s="2" t="s">
        <v>2</v>
      </c>
      <c r="E342" s="2">
        <v>1</v>
      </c>
      <c r="F342" s="8">
        <v>243836</v>
      </c>
      <c r="G342" s="10">
        <v>7.0000000000000007E-2</v>
      </c>
      <c r="H342" s="18" t="str">
        <f>IF(tbl_Ventas[[#This Row],[Cantidad]]&gt;=10,"Venta Alta","Venta Normal")</f>
        <v>Venta Normal</v>
      </c>
    </row>
    <row r="343" spans="1:8" ht="15.75" customHeight="1" x14ac:dyDescent="0.3">
      <c r="A343" s="1">
        <v>46029</v>
      </c>
      <c r="B343" s="2" t="s">
        <v>379</v>
      </c>
      <c r="C343" s="2" t="s">
        <v>71</v>
      </c>
      <c r="D343" s="2" t="s">
        <v>13</v>
      </c>
      <c r="E343" s="2">
        <v>3</v>
      </c>
      <c r="F343" s="8">
        <v>827833</v>
      </c>
      <c r="G343" s="10">
        <v>0.08</v>
      </c>
      <c r="H343" s="18" t="str">
        <f>IF(tbl_Ventas[[#This Row],[Cantidad]]&gt;=10,"Venta Alta","Venta Normal")</f>
        <v>Venta Normal</v>
      </c>
    </row>
    <row r="344" spans="1:8" ht="15.75" customHeight="1" x14ac:dyDescent="0.3">
      <c r="A344" s="1">
        <v>46029</v>
      </c>
      <c r="B344" s="2" t="s">
        <v>380</v>
      </c>
      <c r="C344" s="2" t="s">
        <v>71</v>
      </c>
      <c r="D344" s="2" t="s">
        <v>51</v>
      </c>
      <c r="E344" s="2">
        <v>3</v>
      </c>
      <c r="F344" s="8">
        <v>360920</v>
      </c>
      <c r="G344" s="10">
        <v>0.06</v>
      </c>
      <c r="H344" s="18" t="str">
        <f>IF(tbl_Ventas[[#This Row],[Cantidad]]&gt;=10,"Venta Alta","Venta Normal")</f>
        <v>Venta Normal</v>
      </c>
    </row>
    <row r="345" spans="1:8" ht="15.75" customHeight="1" x14ac:dyDescent="0.3">
      <c r="A345" s="1">
        <v>46029</v>
      </c>
      <c r="B345" s="2" t="s">
        <v>381</v>
      </c>
      <c r="C345" s="2" t="s">
        <v>71</v>
      </c>
      <c r="D345" s="2" t="s">
        <v>17</v>
      </c>
      <c r="E345" s="2">
        <v>11</v>
      </c>
      <c r="F345" s="8">
        <v>799608</v>
      </c>
      <c r="G345" s="10">
        <v>0.15</v>
      </c>
      <c r="H345" s="18" t="str">
        <f>IF(tbl_Ventas[[#This Row],[Cantidad]]&gt;=10,"Venta Alta","Venta Normal")</f>
        <v>Venta Alta</v>
      </c>
    </row>
    <row r="346" spans="1:8" ht="15.75" customHeight="1" x14ac:dyDescent="0.3">
      <c r="A346" s="1">
        <v>46029</v>
      </c>
      <c r="B346" s="2" t="s">
        <v>382</v>
      </c>
      <c r="C346" s="2" t="s">
        <v>5</v>
      </c>
      <c r="D346" s="2" t="s">
        <v>51</v>
      </c>
      <c r="E346" s="2">
        <v>4</v>
      </c>
      <c r="F346" s="8">
        <v>766867</v>
      </c>
      <c r="G346" s="10">
        <v>0.12</v>
      </c>
      <c r="H346" s="18" t="str">
        <f>IF(tbl_Ventas[[#This Row],[Cantidad]]&gt;=10,"Venta Alta","Venta Normal")</f>
        <v>Venta Normal</v>
      </c>
    </row>
    <row r="347" spans="1:8" ht="15.75" customHeight="1" x14ac:dyDescent="0.3">
      <c r="A347" s="1">
        <v>46029</v>
      </c>
      <c r="B347" s="2" t="s">
        <v>383</v>
      </c>
      <c r="C347" s="2" t="s">
        <v>33</v>
      </c>
      <c r="D347" s="2" t="s">
        <v>17</v>
      </c>
      <c r="E347" s="2">
        <v>4</v>
      </c>
      <c r="F347" s="8">
        <v>500700</v>
      </c>
      <c r="G347" s="10">
        <v>0.12</v>
      </c>
      <c r="H347" s="18" t="str">
        <f>IF(tbl_Ventas[[#This Row],[Cantidad]]&gt;=10,"Venta Alta","Venta Normal")</f>
        <v>Venta Normal</v>
      </c>
    </row>
    <row r="348" spans="1:8" ht="15.75" customHeight="1" x14ac:dyDescent="0.3">
      <c r="A348" s="1">
        <v>46029</v>
      </c>
      <c r="B348" s="2" t="s">
        <v>384</v>
      </c>
      <c r="C348" s="2" t="s">
        <v>7</v>
      </c>
      <c r="D348" s="2" t="s">
        <v>25</v>
      </c>
      <c r="E348" s="2">
        <v>4</v>
      </c>
      <c r="F348" s="8">
        <v>288749</v>
      </c>
      <c r="G348" s="11">
        <v>0</v>
      </c>
      <c r="H348" s="17" t="str">
        <f>IF(tbl_Ventas[[#This Row],[Cantidad]]&gt;=10,"Venta Alta","Venta Normal")</f>
        <v>Venta Normal</v>
      </c>
    </row>
    <row r="349" spans="1:8" ht="15.75" customHeight="1" x14ac:dyDescent="0.3">
      <c r="A349" s="1">
        <v>46029</v>
      </c>
      <c r="B349" s="2" t="s">
        <v>385</v>
      </c>
      <c r="C349" s="2" t="s">
        <v>33</v>
      </c>
      <c r="D349" s="2" t="s">
        <v>13</v>
      </c>
      <c r="E349" s="2">
        <v>9</v>
      </c>
      <c r="F349" s="8">
        <v>54181</v>
      </c>
      <c r="G349" s="11">
        <v>0</v>
      </c>
      <c r="H349" s="17" t="str">
        <f>IF(tbl_Ventas[[#This Row],[Cantidad]]&gt;=10,"Venta Alta","Venta Normal")</f>
        <v>Venta Normal</v>
      </c>
    </row>
    <row r="350" spans="1:8" ht="15.75" customHeight="1" x14ac:dyDescent="0.3">
      <c r="A350" s="1">
        <v>46029</v>
      </c>
      <c r="B350" s="2" t="s">
        <v>386</v>
      </c>
      <c r="C350" s="2" t="s">
        <v>16</v>
      </c>
      <c r="D350" s="2" t="s">
        <v>13</v>
      </c>
      <c r="E350" s="2">
        <v>5</v>
      </c>
      <c r="F350" s="8">
        <v>418407</v>
      </c>
      <c r="G350" s="10">
        <v>0.06</v>
      </c>
      <c r="H350" s="18" t="str">
        <f>IF(tbl_Ventas[[#This Row],[Cantidad]]&gt;=10,"Venta Alta","Venta Normal")</f>
        <v>Venta Normal</v>
      </c>
    </row>
    <row r="351" spans="1:8" ht="15.75" customHeight="1" x14ac:dyDescent="0.3">
      <c r="A351" s="1">
        <v>46029</v>
      </c>
      <c r="B351" s="2" t="s">
        <v>387</v>
      </c>
      <c r="C351" s="2" t="s">
        <v>5</v>
      </c>
      <c r="D351" s="2" t="s">
        <v>17</v>
      </c>
      <c r="E351" s="2">
        <v>11</v>
      </c>
      <c r="F351" s="8">
        <v>512312</v>
      </c>
      <c r="G351" s="11">
        <v>0</v>
      </c>
      <c r="H351" s="17" t="str">
        <f>IF(tbl_Ventas[[#This Row],[Cantidad]]&gt;=10,"Venta Alta","Venta Normal")</f>
        <v>Venta Alta</v>
      </c>
    </row>
    <row r="352" spans="1:8" ht="15.75" customHeight="1" x14ac:dyDescent="0.3">
      <c r="A352" s="1">
        <v>46029</v>
      </c>
      <c r="B352" s="2" t="s">
        <v>388</v>
      </c>
      <c r="C352" s="2" t="s">
        <v>16</v>
      </c>
      <c r="D352" s="2" t="s">
        <v>2</v>
      </c>
      <c r="E352" s="2">
        <v>9</v>
      </c>
      <c r="F352" s="8">
        <v>169419</v>
      </c>
      <c r="G352" s="10">
        <v>0.03</v>
      </c>
      <c r="H352" s="18" t="str">
        <f>IF(tbl_Ventas[[#This Row],[Cantidad]]&gt;=10,"Venta Alta","Venta Normal")</f>
        <v>Venta Normal</v>
      </c>
    </row>
    <row r="353" spans="1:8" ht="15.75" customHeight="1" x14ac:dyDescent="0.3">
      <c r="A353" s="1">
        <v>46029</v>
      </c>
      <c r="B353" s="2" t="s">
        <v>389</v>
      </c>
      <c r="C353" s="2" t="s">
        <v>33</v>
      </c>
      <c r="D353" s="2" t="s">
        <v>2</v>
      </c>
      <c r="E353" s="2">
        <v>6</v>
      </c>
      <c r="F353" s="8">
        <v>760551</v>
      </c>
      <c r="G353" s="10">
        <v>0.02</v>
      </c>
      <c r="H353" s="18" t="str">
        <f>IF(tbl_Ventas[[#This Row],[Cantidad]]&gt;=10,"Venta Alta","Venta Normal")</f>
        <v>Venta Normal</v>
      </c>
    </row>
    <row r="354" spans="1:8" ht="15.75" customHeight="1" x14ac:dyDescent="0.3">
      <c r="A354" s="1">
        <v>46029</v>
      </c>
      <c r="B354" s="2" t="s">
        <v>390</v>
      </c>
      <c r="C354" s="2" t="s">
        <v>22</v>
      </c>
      <c r="D354" s="2" t="s">
        <v>25</v>
      </c>
      <c r="E354" s="2">
        <v>12</v>
      </c>
      <c r="F354" s="8">
        <v>473329</v>
      </c>
      <c r="G354" s="11">
        <v>0</v>
      </c>
      <c r="H354" s="17" t="str">
        <f>IF(tbl_Ventas[[#This Row],[Cantidad]]&gt;=10,"Venta Alta","Venta Normal")</f>
        <v>Venta Alta</v>
      </c>
    </row>
    <row r="355" spans="1:8" ht="15.75" customHeight="1" x14ac:dyDescent="0.3">
      <c r="A355" s="1">
        <v>46029</v>
      </c>
      <c r="B355" s="2" t="s">
        <v>391</v>
      </c>
      <c r="C355" s="2" t="s">
        <v>16</v>
      </c>
      <c r="D355" s="2" t="s">
        <v>17</v>
      </c>
      <c r="E355" s="2">
        <v>12</v>
      </c>
      <c r="F355" s="8">
        <v>355169</v>
      </c>
      <c r="G355" s="10">
        <v>0.12</v>
      </c>
      <c r="H355" s="18" t="str">
        <f>IF(tbl_Ventas[[#This Row],[Cantidad]]&gt;=10,"Venta Alta","Venta Normal")</f>
        <v>Venta Alta</v>
      </c>
    </row>
    <row r="356" spans="1:8" ht="15.75" customHeight="1" x14ac:dyDescent="0.3">
      <c r="A356" s="1">
        <v>46029</v>
      </c>
      <c r="B356" s="2" t="s">
        <v>392</v>
      </c>
      <c r="C356" s="2" t="s">
        <v>33</v>
      </c>
      <c r="D356" s="2" t="s">
        <v>51</v>
      </c>
      <c r="E356" s="2">
        <v>11</v>
      </c>
      <c r="F356" s="8">
        <v>644735</v>
      </c>
      <c r="G356" s="10">
        <v>0.11</v>
      </c>
      <c r="H356" s="18" t="str">
        <f>IF(tbl_Ventas[[#This Row],[Cantidad]]&gt;=10,"Venta Alta","Venta Normal")</f>
        <v>Venta Alta</v>
      </c>
    </row>
    <row r="357" spans="1:8" ht="15.75" customHeight="1" x14ac:dyDescent="0.3">
      <c r="A357" s="1">
        <v>46029</v>
      </c>
      <c r="B357" s="2" t="s">
        <v>393</v>
      </c>
      <c r="C357" s="2" t="s">
        <v>71</v>
      </c>
      <c r="D357" s="2" t="s">
        <v>51</v>
      </c>
      <c r="E357" s="2">
        <v>6</v>
      </c>
      <c r="F357" s="8">
        <v>811262</v>
      </c>
      <c r="G357" s="11">
        <v>0</v>
      </c>
      <c r="H357" s="17" t="str">
        <f>IF(tbl_Ventas[[#This Row],[Cantidad]]&gt;=10,"Venta Alta","Venta Normal")</f>
        <v>Venta Normal</v>
      </c>
    </row>
    <row r="358" spans="1:8" ht="15.75" customHeight="1" x14ac:dyDescent="0.3">
      <c r="A358" s="1">
        <v>46029</v>
      </c>
      <c r="B358" s="2" t="s">
        <v>394</v>
      </c>
      <c r="C358" s="2" t="s">
        <v>12</v>
      </c>
      <c r="D358" s="2" t="s">
        <v>25</v>
      </c>
      <c r="E358" s="2">
        <v>6</v>
      </c>
      <c r="F358" s="8">
        <v>539007</v>
      </c>
      <c r="G358" s="10">
        <v>0.13</v>
      </c>
      <c r="H358" s="18" t="str">
        <f>IF(tbl_Ventas[[#This Row],[Cantidad]]&gt;=10,"Venta Alta","Venta Normal")</f>
        <v>Venta Normal</v>
      </c>
    </row>
    <row r="359" spans="1:8" ht="15.75" customHeight="1" x14ac:dyDescent="0.3">
      <c r="A359" s="1">
        <v>46029</v>
      </c>
      <c r="B359" s="2" t="s">
        <v>395</v>
      </c>
      <c r="C359" s="2" t="s">
        <v>12</v>
      </c>
      <c r="D359" s="2" t="s">
        <v>51</v>
      </c>
      <c r="E359" s="2">
        <v>3</v>
      </c>
      <c r="F359" s="8">
        <v>210793</v>
      </c>
      <c r="G359" s="10">
        <v>0.13</v>
      </c>
      <c r="H359" s="18" t="str">
        <f>IF(tbl_Ventas[[#This Row],[Cantidad]]&gt;=10,"Venta Alta","Venta Normal")</f>
        <v>Venta Normal</v>
      </c>
    </row>
    <row r="360" spans="1:8" ht="15.75" customHeight="1" x14ac:dyDescent="0.3">
      <c r="A360" s="1">
        <v>46029</v>
      </c>
      <c r="B360" s="2" t="s">
        <v>396</v>
      </c>
      <c r="C360" s="2" t="s">
        <v>1</v>
      </c>
      <c r="D360" s="2" t="s">
        <v>17</v>
      </c>
      <c r="E360" s="2">
        <v>5</v>
      </c>
      <c r="F360" s="8">
        <v>320160</v>
      </c>
      <c r="G360" s="11">
        <v>0</v>
      </c>
      <c r="H360" s="17" t="str">
        <f>IF(tbl_Ventas[[#This Row],[Cantidad]]&gt;=10,"Venta Alta","Venta Normal")</f>
        <v>Venta Normal</v>
      </c>
    </row>
    <row r="361" spans="1:8" ht="15.75" customHeight="1" x14ac:dyDescent="0.3">
      <c r="A361" s="1">
        <v>46029</v>
      </c>
      <c r="B361" s="2" t="s">
        <v>397</v>
      </c>
      <c r="C361" s="2" t="s">
        <v>22</v>
      </c>
      <c r="D361" s="2" t="s">
        <v>13</v>
      </c>
      <c r="E361" s="2">
        <v>6</v>
      </c>
      <c r="F361" s="8">
        <v>131004</v>
      </c>
      <c r="G361" s="10">
        <v>0.12</v>
      </c>
      <c r="H361" s="18" t="str">
        <f>IF(tbl_Ventas[[#This Row],[Cantidad]]&gt;=10,"Venta Alta","Venta Normal")</f>
        <v>Venta Normal</v>
      </c>
    </row>
    <row r="362" spans="1:8" ht="15.75" customHeight="1" x14ac:dyDescent="0.3">
      <c r="A362" s="1">
        <v>46029</v>
      </c>
      <c r="B362" s="2" t="s">
        <v>398</v>
      </c>
      <c r="C362" s="2" t="s">
        <v>7</v>
      </c>
      <c r="D362" s="2" t="s">
        <v>17</v>
      </c>
      <c r="E362" s="2">
        <v>7</v>
      </c>
      <c r="F362" s="8">
        <v>516176</v>
      </c>
      <c r="G362" s="10">
        <v>0.13</v>
      </c>
      <c r="H362" s="18" t="str">
        <f>IF(tbl_Ventas[[#This Row],[Cantidad]]&gt;=10,"Venta Alta","Venta Normal")</f>
        <v>Venta Normal</v>
      </c>
    </row>
    <row r="363" spans="1:8" ht="15.75" customHeight="1" x14ac:dyDescent="0.3">
      <c r="A363" s="1">
        <v>46029</v>
      </c>
      <c r="B363" s="2" t="s">
        <v>399</v>
      </c>
      <c r="C363" s="2" t="s">
        <v>12</v>
      </c>
      <c r="D363" s="2" t="s">
        <v>17</v>
      </c>
      <c r="E363" s="2">
        <v>7</v>
      </c>
      <c r="F363" s="8">
        <v>724758</v>
      </c>
      <c r="G363" s="10">
        <v>0.11</v>
      </c>
      <c r="H363" s="18" t="str">
        <f>IF(tbl_Ventas[[#This Row],[Cantidad]]&gt;=10,"Venta Alta","Venta Normal")</f>
        <v>Venta Normal</v>
      </c>
    </row>
    <row r="364" spans="1:8" ht="15.75" customHeight="1" x14ac:dyDescent="0.3">
      <c r="A364" s="1">
        <v>46029</v>
      </c>
      <c r="B364" s="2" t="s">
        <v>400</v>
      </c>
      <c r="C364" s="2" t="s">
        <v>71</v>
      </c>
      <c r="D364" s="2" t="s">
        <v>51</v>
      </c>
      <c r="E364" s="2">
        <v>5</v>
      </c>
      <c r="F364" s="8">
        <v>724653</v>
      </c>
      <c r="G364" s="11">
        <v>0</v>
      </c>
      <c r="H364" s="17" t="str">
        <f>IF(tbl_Ventas[[#This Row],[Cantidad]]&gt;=10,"Venta Alta","Venta Normal")</f>
        <v>Venta Normal</v>
      </c>
    </row>
    <row r="365" spans="1:8" ht="15.75" customHeight="1" x14ac:dyDescent="0.3">
      <c r="A365" s="1">
        <v>46029</v>
      </c>
      <c r="B365" s="2" t="s">
        <v>401</v>
      </c>
      <c r="C365" s="2" t="s">
        <v>7</v>
      </c>
      <c r="D365" s="2" t="s">
        <v>2</v>
      </c>
      <c r="E365" s="2">
        <v>5</v>
      </c>
      <c r="F365" s="8">
        <v>601397</v>
      </c>
      <c r="G365" s="10">
        <v>0.03</v>
      </c>
      <c r="H365" s="18" t="str">
        <f>IF(tbl_Ventas[[#This Row],[Cantidad]]&gt;=10,"Venta Alta","Venta Normal")</f>
        <v>Venta Normal</v>
      </c>
    </row>
    <row r="366" spans="1:8" ht="15.75" customHeight="1" x14ac:dyDescent="0.3">
      <c r="A366" s="1">
        <v>46029</v>
      </c>
      <c r="B366" s="2" t="s">
        <v>402</v>
      </c>
      <c r="C366" s="2" t="s">
        <v>16</v>
      </c>
      <c r="D366" s="2" t="s">
        <v>17</v>
      </c>
      <c r="E366" s="2">
        <v>11</v>
      </c>
      <c r="F366" s="8">
        <v>564374</v>
      </c>
      <c r="G366" s="10">
        <v>7.0000000000000007E-2</v>
      </c>
      <c r="H366" s="18" t="str">
        <f>IF(tbl_Ventas[[#This Row],[Cantidad]]&gt;=10,"Venta Alta","Venta Normal")</f>
        <v>Venta Alta</v>
      </c>
    </row>
    <row r="367" spans="1:8" ht="15.75" customHeight="1" x14ac:dyDescent="0.3">
      <c r="A367" s="1">
        <v>46029</v>
      </c>
      <c r="B367" s="2" t="s">
        <v>403</v>
      </c>
      <c r="C367" s="2" t="s">
        <v>33</v>
      </c>
      <c r="D367" s="2" t="s">
        <v>51</v>
      </c>
      <c r="E367" s="2">
        <v>7</v>
      </c>
      <c r="F367" s="8">
        <v>848267</v>
      </c>
      <c r="G367" s="11">
        <v>0</v>
      </c>
      <c r="H367" s="17" t="str">
        <f>IF(tbl_Ventas[[#This Row],[Cantidad]]&gt;=10,"Venta Alta","Venta Normal")</f>
        <v>Venta Normal</v>
      </c>
    </row>
    <row r="368" spans="1:8" ht="15.75" customHeight="1" x14ac:dyDescent="0.3">
      <c r="A368" s="1">
        <v>46029</v>
      </c>
      <c r="B368" s="2" t="s">
        <v>404</v>
      </c>
      <c r="C368" s="2" t="s">
        <v>71</v>
      </c>
      <c r="D368" s="2" t="s">
        <v>25</v>
      </c>
      <c r="E368" s="2">
        <v>1</v>
      </c>
      <c r="F368" s="8">
        <v>349030</v>
      </c>
      <c r="G368" s="10">
        <v>0.15</v>
      </c>
      <c r="H368" s="18" t="str">
        <f>IF(tbl_Ventas[[#This Row],[Cantidad]]&gt;=10,"Venta Alta","Venta Normal")</f>
        <v>Venta Normal</v>
      </c>
    </row>
    <row r="369" spans="1:8" ht="15.75" customHeight="1" x14ac:dyDescent="0.3">
      <c r="A369" s="1">
        <v>46029</v>
      </c>
      <c r="B369" s="2" t="s">
        <v>405</v>
      </c>
      <c r="C369" s="2" t="s">
        <v>7</v>
      </c>
      <c r="D369" s="2" t="s">
        <v>13</v>
      </c>
      <c r="E369" s="2">
        <v>2</v>
      </c>
      <c r="F369" s="8">
        <v>349123</v>
      </c>
      <c r="G369" s="10">
        <v>0.09</v>
      </c>
      <c r="H369" s="18" t="str">
        <f>IF(tbl_Ventas[[#This Row],[Cantidad]]&gt;=10,"Venta Alta","Venta Normal")</f>
        <v>Venta Normal</v>
      </c>
    </row>
    <row r="370" spans="1:8" ht="15.75" customHeight="1" x14ac:dyDescent="0.3">
      <c r="A370" s="1">
        <v>46029</v>
      </c>
      <c r="B370" s="2" t="s">
        <v>406</v>
      </c>
      <c r="C370" s="2" t="s">
        <v>12</v>
      </c>
      <c r="D370" s="2" t="s">
        <v>17</v>
      </c>
      <c r="E370" s="2">
        <v>5</v>
      </c>
      <c r="F370" s="8">
        <v>264823</v>
      </c>
      <c r="G370" s="11">
        <v>0</v>
      </c>
      <c r="H370" s="17" t="str">
        <f>IF(tbl_Ventas[[#This Row],[Cantidad]]&gt;=10,"Venta Alta","Venta Normal")</f>
        <v>Venta Normal</v>
      </c>
    </row>
    <row r="371" spans="1:8" ht="15.75" customHeight="1" x14ac:dyDescent="0.3">
      <c r="A371" s="1">
        <v>46029</v>
      </c>
      <c r="B371" s="2" t="s">
        <v>407</v>
      </c>
      <c r="C371" s="2" t="s">
        <v>5</v>
      </c>
      <c r="D371" s="2" t="s">
        <v>17</v>
      </c>
      <c r="E371" s="2">
        <v>9</v>
      </c>
      <c r="F371" s="8">
        <v>337232</v>
      </c>
      <c r="G371" s="10">
        <v>0.09</v>
      </c>
      <c r="H371" s="18" t="str">
        <f>IF(tbl_Ventas[[#This Row],[Cantidad]]&gt;=10,"Venta Alta","Venta Normal")</f>
        <v>Venta Normal</v>
      </c>
    </row>
    <row r="372" spans="1:8" ht="15.75" customHeight="1" x14ac:dyDescent="0.3">
      <c r="A372" s="1">
        <v>46029</v>
      </c>
      <c r="B372" s="2" t="s">
        <v>408</v>
      </c>
      <c r="C372" s="2" t="s">
        <v>22</v>
      </c>
      <c r="D372" s="2" t="s">
        <v>25</v>
      </c>
      <c r="E372" s="2">
        <v>6</v>
      </c>
      <c r="F372" s="8">
        <v>618713</v>
      </c>
      <c r="G372" s="10">
        <v>0.04</v>
      </c>
      <c r="H372" s="18" t="str">
        <f>IF(tbl_Ventas[[#This Row],[Cantidad]]&gt;=10,"Venta Alta","Venta Normal")</f>
        <v>Venta Normal</v>
      </c>
    </row>
    <row r="373" spans="1:8" ht="15.75" customHeight="1" x14ac:dyDescent="0.3">
      <c r="A373" s="1">
        <v>46029</v>
      </c>
      <c r="B373" s="2" t="s">
        <v>409</v>
      </c>
      <c r="C373" s="2" t="s">
        <v>33</v>
      </c>
      <c r="D373" s="2" t="s">
        <v>13</v>
      </c>
      <c r="E373" s="2">
        <v>4</v>
      </c>
      <c r="F373" s="8">
        <v>177381</v>
      </c>
      <c r="G373" s="10">
        <v>0.12</v>
      </c>
      <c r="H373" s="18" t="str">
        <f>IF(tbl_Ventas[[#This Row],[Cantidad]]&gt;=10,"Venta Alta","Venta Normal")</f>
        <v>Venta Normal</v>
      </c>
    </row>
    <row r="374" spans="1:8" ht="15.75" customHeight="1" x14ac:dyDescent="0.3">
      <c r="A374" s="1">
        <v>46029</v>
      </c>
      <c r="B374" s="2" t="s">
        <v>410</v>
      </c>
      <c r="C374" s="2" t="s">
        <v>33</v>
      </c>
      <c r="D374" s="2" t="s">
        <v>17</v>
      </c>
      <c r="E374" s="2">
        <v>7</v>
      </c>
      <c r="F374" s="8">
        <v>140043</v>
      </c>
      <c r="G374" s="10">
        <v>0.12</v>
      </c>
      <c r="H374" s="18" t="str">
        <f>IF(tbl_Ventas[[#This Row],[Cantidad]]&gt;=10,"Venta Alta","Venta Normal")</f>
        <v>Venta Normal</v>
      </c>
    </row>
    <row r="375" spans="1:8" ht="15.75" customHeight="1" x14ac:dyDescent="0.3">
      <c r="A375" s="1">
        <v>46029</v>
      </c>
      <c r="B375" s="2" t="s">
        <v>411</v>
      </c>
      <c r="C375" s="2" t="s">
        <v>22</v>
      </c>
      <c r="D375" s="2" t="s">
        <v>2</v>
      </c>
      <c r="E375" s="2">
        <v>2</v>
      </c>
      <c r="F375" s="8">
        <v>699200</v>
      </c>
      <c r="G375" s="10">
        <v>7.0000000000000007E-2</v>
      </c>
      <c r="H375" s="18" t="str">
        <f>IF(tbl_Ventas[[#This Row],[Cantidad]]&gt;=10,"Venta Alta","Venta Normal")</f>
        <v>Venta Normal</v>
      </c>
    </row>
    <row r="376" spans="1:8" ht="15.75" customHeight="1" x14ac:dyDescent="0.3">
      <c r="A376" s="1">
        <v>46029</v>
      </c>
      <c r="B376" s="2" t="s">
        <v>412</v>
      </c>
      <c r="C376" s="2" t="s">
        <v>16</v>
      </c>
      <c r="D376" s="2" t="s">
        <v>25</v>
      </c>
      <c r="E376" s="2">
        <v>1</v>
      </c>
      <c r="F376" s="8">
        <v>802288</v>
      </c>
      <c r="G376" s="10">
        <v>0.08</v>
      </c>
      <c r="H376" s="18" t="str">
        <f>IF(tbl_Ventas[[#This Row],[Cantidad]]&gt;=10,"Venta Alta","Venta Normal")</f>
        <v>Venta Normal</v>
      </c>
    </row>
    <row r="377" spans="1:8" ht="15.75" customHeight="1" x14ac:dyDescent="0.3">
      <c r="A377" s="1">
        <v>46029</v>
      </c>
      <c r="B377" s="2" t="s">
        <v>413</v>
      </c>
      <c r="C377" s="2" t="s">
        <v>5</v>
      </c>
      <c r="D377" s="2" t="s">
        <v>2</v>
      </c>
      <c r="E377" s="2">
        <v>5</v>
      </c>
      <c r="F377" s="8">
        <v>155343</v>
      </c>
      <c r="G377" s="10">
        <v>0.1</v>
      </c>
      <c r="H377" s="18" t="str">
        <f>IF(tbl_Ventas[[#This Row],[Cantidad]]&gt;=10,"Venta Alta","Venta Normal")</f>
        <v>Venta Normal</v>
      </c>
    </row>
    <row r="378" spans="1:8" ht="15.75" customHeight="1" x14ac:dyDescent="0.3">
      <c r="A378" s="1">
        <v>46029</v>
      </c>
      <c r="B378" s="2" t="s">
        <v>414</v>
      </c>
      <c r="C378" s="2" t="s">
        <v>7</v>
      </c>
      <c r="D378" s="2" t="s">
        <v>2</v>
      </c>
      <c r="E378" s="2">
        <v>12</v>
      </c>
      <c r="F378" s="8">
        <v>491150</v>
      </c>
      <c r="G378" s="10">
        <v>0.06</v>
      </c>
      <c r="H378" s="18" t="str">
        <f>IF(tbl_Ventas[[#This Row],[Cantidad]]&gt;=10,"Venta Alta","Venta Normal")</f>
        <v>Venta Alta</v>
      </c>
    </row>
    <row r="379" spans="1:8" ht="15.75" customHeight="1" x14ac:dyDescent="0.3">
      <c r="A379" s="1">
        <v>46029</v>
      </c>
      <c r="B379" s="2" t="s">
        <v>415</v>
      </c>
      <c r="C379" s="2" t="s">
        <v>7</v>
      </c>
      <c r="D379" s="2" t="s">
        <v>25</v>
      </c>
      <c r="E379" s="2">
        <v>12</v>
      </c>
      <c r="F379" s="8">
        <v>71546</v>
      </c>
      <c r="G379" s="11">
        <v>0</v>
      </c>
      <c r="H379" s="17" t="str">
        <f>IF(tbl_Ventas[[#This Row],[Cantidad]]&gt;=10,"Venta Alta","Venta Normal")</f>
        <v>Venta Alta</v>
      </c>
    </row>
    <row r="380" spans="1:8" ht="15.75" customHeight="1" x14ac:dyDescent="0.3">
      <c r="A380" s="1">
        <v>46029</v>
      </c>
      <c r="B380" s="2" t="s">
        <v>416</v>
      </c>
      <c r="C380" s="2" t="s">
        <v>5</v>
      </c>
      <c r="D380" s="2" t="s">
        <v>17</v>
      </c>
      <c r="E380" s="2">
        <v>8</v>
      </c>
      <c r="F380" s="8">
        <v>419355</v>
      </c>
      <c r="G380" s="10">
        <v>7.0000000000000007E-2</v>
      </c>
      <c r="H380" s="18" t="str">
        <f>IF(tbl_Ventas[[#This Row],[Cantidad]]&gt;=10,"Venta Alta","Venta Normal")</f>
        <v>Venta Normal</v>
      </c>
    </row>
    <row r="381" spans="1:8" ht="15.75" customHeight="1" x14ac:dyDescent="0.3">
      <c r="A381" s="1">
        <v>46029</v>
      </c>
      <c r="B381" s="2" t="s">
        <v>417</v>
      </c>
      <c r="C381" s="2" t="s">
        <v>7</v>
      </c>
      <c r="D381" s="2" t="s">
        <v>13</v>
      </c>
      <c r="E381" s="2">
        <v>6</v>
      </c>
      <c r="F381" s="8">
        <v>396923</v>
      </c>
      <c r="G381" s="10">
        <v>0.14000000000000001</v>
      </c>
      <c r="H381" s="18" t="str">
        <f>IF(tbl_Ventas[[#This Row],[Cantidad]]&gt;=10,"Venta Alta","Venta Normal")</f>
        <v>Venta Normal</v>
      </c>
    </row>
    <row r="382" spans="1:8" ht="15.75" customHeight="1" x14ac:dyDescent="0.3">
      <c r="A382" s="1">
        <v>46029</v>
      </c>
      <c r="B382" s="2" t="s">
        <v>384</v>
      </c>
      <c r="C382" s="2" t="s">
        <v>7</v>
      </c>
      <c r="D382" s="2" t="s">
        <v>13</v>
      </c>
      <c r="E382" s="2">
        <v>4</v>
      </c>
      <c r="F382" s="8">
        <v>288749</v>
      </c>
      <c r="G382" s="11">
        <v>0</v>
      </c>
      <c r="H382" s="17" t="str">
        <f>IF(tbl_Ventas[[#This Row],[Cantidad]]&gt;=10,"Venta Alta","Venta Normal")</f>
        <v>Venta Normal</v>
      </c>
    </row>
    <row r="383" spans="1:8" ht="15.75" customHeight="1" x14ac:dyDescent="0.3">
      <c r="A383" s="1">
        <v>46029</v>
      </c>
      <c r="B383" s="2" t="s">
        <v>377</v>
      </c>
      <c r="C383" s="2" t="s">
        <v>1</v>
      </c>
      <c r="D383" s="2" t="s">
        <v>17</v>
      </c>
      <c r="E383" s="2">
        <v>4</v>
      </c>
      <c r="F383" s="8">
        <v>492503</v>
      </c>
      <c r="G383" s="10">
        <v>7.0000000000000007E-2</v>
      </c>
      <c r="H383" s="18" t="str">
        <f>IF(tbl_Ventas[[#This Row],[Cantidad]]&gt;=10,"Venta Alta","Venta Normal")</f>
        <v>Venta Normal</v>
      </c>
    </row>
    <row r="384" spans="1:8" ht="15.75" customHeight="1" x14ac:dyDescent="0.3">
      <c r="A384" s="1">
        <v>46029</v>
      </c>
      <c r="B384" s="2" t="s">
        <v>416</v>
      </c>
      <c r="C384" s="2" t="s">
        <v>5</v>
      </c>
      <c r="D384" s="2" t="s">
        <v>13</v>
      </c>
      <c r="E384" s="2">
        <v>8</v>
      </c>
      <c r="F384" s="8">
        <v>419355</v>
      </c>
      <c r="G384" s="10">
        <v>7.0000000000000007E-2</v>
      </c>
      <c r="H384" s="18" t="str">
        <f>IF(tbl_Ventas[[#This Row],[Cantidad]]&gt;=10,"Venta Alta","Venta Normal")</f>
        <v>Venta Normal</v>
      </c>
    </row>
    <row r="385" spans="1:8" ht="15.75" customHeight="1" x14ac:dyDescent="0.3">
      <c r="A385" s="1">
        <v>46030</v>
      </c>
      <c r="B385" s="2" t="s">
        <v>418</v>
      </c>
      <c r="C385" s="2" t="s">
        <v>71</v>
      </c>
      <c r="D385" s="2" t="s">
        <v>51</v>
      </c>
      <c r="E385" s="2">
        <v>5</v>
      </c>
      <c r="F385" s="8">
        <v>99944</v>
      </c>
      <c r="G385" s="10">
        <v>7.0000000000000007E-2</v>
      </c>
      <c r="H385" s="18" t="str">
        <f>IF(tbl_Ventas[[#This Row],[Cantidad]]&gt;=10,"Venta Alta","Venta Normal")</f>
        <v>Venta Normal</v>
      </c>
    </row>
    <row r="386" spans="1:8" ht="15.75" customHeight="1" x14ac:dyDescent="0.3">
      <c r="A386" s="1">
        <v>46030</v>
      </c>
      <c r="B386" s="2" t="s">
        <v>419</v>
      </c>
      <c r="C386" s="2" t="s">
        <v>71</v>
      </c>
      <c r="D386" s="2" t="s">
        <v>25</v>
      </c>
      <c r="E386" s="2">
        <v>11</v>
      </c>
      <c r="F386" s="8">
        <v>224243</v>
      </c>
      <c r="G386" s="10">
        <v>0.1</v>
      </c>
      <c r="H386" s="18" t="str">
        <f>IF(tbl_Ventas[[#This Row],[Cantidad]]&gt;=10,"Venta Alta","Venta Normal")</f>
        <v>Venta Alta</v>
      </c>
    </row>
    <row r="387" spans="1:8" ht="15.75" customHeight="1" x14ac:dyDescent="0.3">
      <c r="A387" s="1">
        <v>46030</v>
      </c>
      <c r="B387" s="2" t="s">
        <v>420</v>
      </c>
      <c r="C387" s="2" t="s">
        <v>71</v>
      </c>
      <c r="D387" s="2" t="s">
        <v>17</v>
      </c>
      <c r="E387" s="2">
        <v>5</v>
      </c>
      <c r="F387" s="8">
        <v>389699</v>
      </c>
      <c r="G387" s="11">
        <v>0</v>
      </c>
      <c r="H387" s="17" t="str">
        <f>IF(tbl_Ventas[[#This Row],[Cantidad]]&gt;=10,"Venta Alta","Venta Normal")</f>
        <v>Venta Normal</v>
      </c>
    </row>
    <row r="388" spans="1:8" ht="15.75" customHeight="1" x14ac:dyDescent="0.3">
      <c r="A388" s="1">
        <v>46030</v>
      </c>
      <c r="B388" s="2" t="s">
        <v>421</v>
      </c>
      <c r="C388" s="2" t="s">
        <v>71</v>
      </c>
      <c r="D388" s="2" t="s">
        <v>51</v>
      </c>
      <c r="E388" s="2">
        <v>7</v>
      </c>
      <c r="F388" s="8">
        <v>139509</v>
      </c>
      <c r="G388" s="10">
        <v>0.08</v>
      </c>
      <c r="H388" s="18" t="str">
        <f>IF(tbl_Ventas[[#This Row],[Cantidad]]&gt;=10,"Venta Alta","Venta Normal")</f>
        <v>Venta Normal</v>
      </c>
    </row>
    <row r="389" spans="1:8" ht="15.75" customHeight="1" x14ac:dyDescent="0.3">
      <c r="A389" s="1">
        <v>46030</v>
      </c>
      <c r="B389" s="2" t="s">
        <v>422</v>
      </c>
      <c r="C389" s="2" t="s">
        <v>33</v>
      </c>
      <c r="D389" s="2" t="s">
        <v>51</v>
      </c>
      <c r="E389" s="2">
        <v>2</v>
      </c>
      <c r="F389" s="8">
        <v>792652</v>
      </c>
      <c r="G389" s="10">
        <v>0.05</v>
      </c>
      <c r="H389" s="18" t="str">
        <f>IF(tbl_Ventas[[#This Row],[Cantidad]]&gt;=10,"Venta Alta","Venta Normal")</f>
        <v>Venta Normal</v>
      </c>
    </row>
    <row r="390" spans="1:8" ht="15.75" customHeight="1" x14ac:dyDescent="0.3">
      <c r="A390" s="1">
        <v>46030</v>
      </c>
      <c r="B390" s="2" t="s">
        <v>423</v>
      </c>
      <c r="C390" s="2" t="s">
        <v>7</v>
      </c>
      <c r="D390" s="2" t="s">
        <v>13</v>
      </c>
      <c r="E390" s="2">
        <v>12</v>
      </c>
      <c r="F390" s="8">
        <v>577848</v>
      </c>
      <c r="G390" s="10">
        <v>0.1</v>
      </c>
      <c r="H390" s="18" t="str">
        <f>IF(tbl_Ventas[[#This Row],[Cantidad]]&gt;=10,"Venta Alta","Venta Normal")</f>
        <v>Venta Alta</v>
      </c>
    </row>
    <row r="391" spans="1:8" ht="15.75" customHeight="1" x14ac:dyDescent="0.3">
      <c r="A391" s="1">
        <v>46030</v>
      </c>
      <c r="B391" s="2" t="s">
        <v>424</v>
      </c>
      <c r="C391" s="2" t="s">
        <v>16</v>
      </c>
      <c r="D391" s="2" t="s">
        <v>2</v>
      </c>
      <c r="E391" s="2">
        <v>7</v>
      </c>
      <c r="F391" s="8">
        <v>133921</v>
      </c>
      <c r="G391" s="10">
        <v>7.0000000000000007E-2</v>
      </c>
      <c r="H391" s="18" t="str">
        <f>IF(tbl_Ventas[[#This Row],[Cantidad]]&gt;=10,"Venta Alta","Venta Normal")</f>
        <v>Venta Normal</v>
      </c>
    </row>
    <row r="392" spans="1:8" ht="15.75" customHeight="1" x14ac:dyDescent="0.3">
      <c r="A392" s="1">
        <v>46030</v>
      </c>
      <c r="B392" s="2" t="s">
        <v>425</v>
      </c>
      <c r="C392" s="2" t="s">
        <v>12</v>
      </c>
      <c r="D392" s="2" t="s">
        <v>2</v>
      </c>
      <c r="E392" s="2">
        <v>11</v>
      </c>
      <c r="F392" s="8">
        <v>174285</v>
      </c>
      <c r="G392" s="11">
        <v>0</v>
      </c>
      <c r="H392" s="17" t="str">
        <f>IF(tbl_Ventas[[#This Row],[Cantidad]]&gt;=10,"Venta Alta","Venta Normal")</f>
        <v>Venta Alta</v>
      </c>
    </row>
    <row r="393" spans="1:8" ht="15.75" customHeight="1" x14ac:dyDescent="0.3">
      <c r="A393" s="1">
        <v>46030</v>
      </c>
      <c r="B393" s="2" t="s">
        <v>426</v>
      </c>
      <c r="C393" s="2" t="s">
        <v>22</v>
      </c>
      <c r="D393" s="2" t="s">
        <v>51</v>
      </c>
      <c r="E393" s="2">
        <v>3</v>
      </c>
      <c r="F393" s="8">
        <v>373742</v>
      </c>
      <c r="G393" s="10">
        <v>0.1</v>
      </c>
      <c r="H393" s="18" t="str">
        <f>IF(tbl_Ventas[[#This Row],[Cantidad]]&gt;=10,"Venta Alta","Venta Normal")</f>
        <v>Venta Normal</v>
      </c>
    </row>
    <row r="394" spans="1:8" ht="15.75" customHeight="1" x14ac:dyDescent="0.3">
      <c r="A394" s="1">
        <v>46030</v>
      </c>
      <c r="B394" s="2" t="s">
        <v>427</v>
      </c>
      <c r="C394" s="2" t="s">
        <v>71</v>
      </c>
      <c r="D394" s="2" t="s">
        <v>2</v>
      </c>
      <c r="E394" s="2">
        <v>10</v>
      </c>
      <c r="F394" s="8">
        <v>167448</v>
      </c>
      <c r="G394" s="10">
        <v>7.0000000000000007E-2</v>
      </c>
      <c r="H394" s="18" t="str">
        <f>IF(tbl_Ventas[[#This Row],[Cantidad]]&gt;=10,"Venta Alta","Venta Normal")</f>
        <v>Venta Alta</v>
      </c>
    </row>
    <row r="395" spans="1:8" ht="15.75" customHeight="1" x14ac:dyDescent="0.3">
      <c r="A395" s="1">
        <v>46030</v>
      </c>
      <c r="B395" s="2" t="s">
        <v>428</v>
      </c>
      <c r="C395" s="2" t="s">
        <v>7</v>
      </c>
      <c r="D395" s="2" t="s">
        <v>51</v>
      </c>
      <c r="E395" s="2">
        <v>1</v>
      </c>
      <c r="F395" s="8">
        <v>118257</v>
      </c>
      <c r="G395" s="11">
        <v>0</v>
      </c>
      <c r="H395" s="17" t="str">
        <f>IF(tbl_Ventas[[#This Row],[Cantidad]]&gt;=10,"Venta Alta","Venta Normal")</f>
        <v>Venta Normal</v>
      </c>
    </row>
    <row r="396" spans="1:8" ht="15.75" customHeight="1" x14ac:dyDescent="0.3">
      <c r="A396" s="1">
        <v>46030</v>
      </c>
      <c r="B396" s="2" t="s">
        <v>429</v>
      </c>
      <c r="C396" s="2" t="s">
        <v>12</v>
      </c>
      <c r="D396" s="2" t="s">
        <v>51</v>
      </c>
      <c r="E396" s="2">
        <v>12</v>
      </c>
      <c r="F396" s="8">
        <v>810466</v>
      </c>
      <c r="G396" s="11">
        <v>0</v>
      </c>
      <c r="H396" s="17" t="str">
        <f>IF(tbl_Ventas[[#This Row],[Cantidad]]&gt;=10,"Venta Alta","Venta Normal")</f>
        <v>Venta Alta</v>
      </c>
    </row>
    <row r="397" spans="1:8" ht="15.75" customHeight="1" x14ac:dyDescent="0.3">
      <c r="A397" s="1">
        <v>46030</v>
      </c>
      <c r="B397" s="2" t="s">
        <v>430</v>
      </c>
      <c r="C397" s="2" t="s">
        <v>33</v>
      </c>
      <c r="D397" s="2" t="s">
        <v>17</v>
      </c>
      <c r="E397" s="2">
        <v>5</v>
      </c>
      <c r="F397" s="8">
        <v>498534</v>
      </c>
      <c r="G397" s="11">
        <v>0</v>
      </c>
      <c r="H397" s="17" t="str">
        <f>IF(tbl_Ventas[[#This Row],[Cantidad]]&gt;=10,"Venta Alta","Venta Normal")</f>
        <v>Venta Normal</v>
      </c>
    </row>
    <row r="398" spans="1:8" ht="15.75" customHeight="1" x14ac:dyDescent="0.3">
      <c r="A398" s="1">
        <v>46030</v>
      </c>
      <c r="B398" s="2" t="s">
        <v>431</v>
      </c>
      <c r="C398" s="2" t="s">
        <v>1</v>
      </c>
      <c r="D398" s="2" t="s">
        <v>25</v>
      </c>
      <c r="E398" s="2">
        <v>10</v>
      </c>
      <c r="F398" s="8">
        <v>629298</v>
      </c>
      <c r="G398" s="11">
        <v>0</v>
      </c>
      <c r="H398" s="17" t="str">
        <f>IF(tbl_Ventas[[#This Row],[Cantidad]]&gt;=10,"Venta Alta","Venta Normal")</f>
        <v>Venta Alta</v>
      </c>
    </row>
    <row r="399" spans="1:8" ht="15.75" customHeight="1" x14ac:dyDescent="0.3">
      <c r="A399" s="1">
        <v>46030</v>
      </c>
      <c r="B399" s="2" t="s">
        <v>432</v>
      </c>
      <c r="C399" s="2" t="s">
        <v>1</v>
      </c>
      <c r="D399" s="2" t="s">
        <v>2</v>
      </c>
      <c r="E399" s="2">
        <v>2</v>
      </c>
      <c r="F399" s="8">
        <v>787447</v>
      </c>
      <c r="G399" s="11">
        <v>0</v>
      </c>
      <c r="H399" s="17" t="str">
        <f>IF(tbl_Ventas[[#This Row],[Cantidad]]&gt;=10,"Venta Alta","Venta Normal")</f>
        <v>Venta Normal</v>
      </c>
    </row>
    <row r="400" spans="1:8" ht="15.75" customHeight="1" x14ac:dyDescent="0.3">
      <c r="A400" s="1">
        <v>46030</v>
      </c>
      <c r="B400" s="2" t="s">
        <v>433</v>
      </c>
      <c r="C400" s="2" t="s">
        <v>16</v>
      </c>
      <c r="D400" s="2" t="s">
        <v>25</v>
      </c>
      <c r="E400" s="2">
        <v>2</v>
      </c>
      <c r="F400" s="8">
        <v>471165</v>
      </c>
      <c r="G400" s="10">
        <v>0.04</v>
      </c>
      <c r="H400" s="18" t="str">
        <f>IF(tbl_Ventas[[#This Row],[Cantidad]]&gt;=10,"Venta Alta","Venta Normal")</f>
        <v>Venta Normal</v>
      </c>
    </row>
    <row r="401" spans="1:8" ht="15.75" customHeight="1" x14ac:dyDescent="0.3">
      <c r="A401" s="1">
        <v>46030</v>
      </c>
      <c r="B401" s="2" t="s">
        <v>434</v>
      </c>
      <c r="C401" s="2" t="s">
        <v>12</v>
      </c>
      <c r="D401" s="2" t="s">
        <v>2</v>
      </c>
      <c r="E401" s="2">
        <v>1</v>
      </c>
      <c r="F401" s="8">
        <v>422445</v>
      </c>
      <c r="G401" s="10">
        <v>0.13</v>
      </c>
      <c r="H401" s="18" t="str">
        <f>IF(tbl_Ventas[[#This Row],[Cantidad]]&gt;=10,"Venta Alta","Venta Normal")</f>
        <v>Venta Normal</v>
      </c>
    </row>
    <row r="402" spans="1:8" ht="15.75" customHeight="1" x14ac:dyDescent="0.3">
      <c r="A402" s="1">
        <v>46030</v>
      </c>
      <c r="B402" s="2" t="s">
        <v>435</v>
      </c>
      <c r="C402" s="2" t="s">
        <v>33</v>
      </c>
      <c r="D402" s="2" t="s">
        <v>25</v>
      </c>
      <c r="E402" s="2">
        <v>1</v>
      </c>
      <c r="F402" s="8">
        <v>552561</v>
      </c>
      <c r="G402" s="11">
        <v>0</v>
      </c>
      <c r="H402" s="17" t="str">
        <f>IF(tbl_Ventas[[#This Row],[Cantidad]]&gt;=10,"Venta Alta","Venta Normal")</f>
        <v>Venta Normal</v>
      </c>
    </row>
    <row r="403" spans="1:8" ht="15.75" customHeight="1" x14ac:dyDescent="0.3">
      <c r="A403" s="1">
        <v>46030</v>
      </c>
      <c r="B403" s="2" t="s">
        <v>436</v>
      </c>
      <c r="C403" s="2" t="s">
        <v>16</v>
      </c>
      <c r="D403" s="2" t="s">
        <v>51</v>
      </c>
      <c r="E403" s="2">
        <v>5</v>
      </c>
      <c r="F403" s="8">
        <v>313285</v>
      </c>
      <c r="G403" s="11">
        <v>0</v>
      </c>
      <c r="H403" s="17" t="str">
        <f>IF(tbl_Ventas[[#This Row],[Cantidad]]&gt;=10,"Venta Alta","Venta Normal")</f>
        <v>Venta Normal</v>
      </c>
    </row>
    <row r="404" spans="1:8" ht="15.75" customHeight="1" x14ac:dyDescent="0.3">
      <c r="A404" s="1">
        <v>46030</v>
      </c>
      <c r="B404" s="2" t="s">
        <v>437</v>
      </c>
      <c r="C404" s="2" t="s">
        <v>33</v>
      </c>
      <c r="D404" s="2" t="s">
        <v>2</v>
      </c>
      <c r="E404" s="2">
        <v>9</v>
      </c>
      <c r="F404" s="8">
        <v>192830</v>
      </c>
      <c r="G404" s="10">
        <v>0.03</v>
      </c>
      <c r="H404" s="18" t="str">
        <f>IF(tbl_Ventas[[#This Row],[Cantidad]]&gt;=10,"Venta Alta","Venta Normal")</f>
        <v>Venta Normal</v>
      </c>
    </row>
    <row r="405" spans="1:8" ht="15.75" customHeight="1" x14ac:dyDescent="0.3">
      <c r="A405" s="1">
        <v>46030</v>
      </c>
      <c r="B405" s="2" t="s">
        <v>438</v>
      </c>
      <c r="C405" s="2" t="s">
        <v>7</v>
      </c>
      <c r="D405" s="2" t="s">
        <v>2</v>
      </c>
      <c r="E405" s="2">
        <v>3</v>
      </c>
      <c r="F405" s="8">
        <v>331904</v>
      </c>
      <c r="G405" s="10">
        <v>0.15</v>
      </c>
      <c r="H405" s="18" t="str">
        <f>IF(tbl_Ventas[[#This Row],[Cantidad]]&gt;=10,"Venta Alta","Venta Normal")</f>
        <v>Venta Normal</v>
      </c>
    </row>
    <row r="406" spans="1:8" ht="15.75" customHeight="1" x14ac:dyDescent="0.3">
      <c r="A406" s="1">
        <v>46030</v>
      </c>
      <c r="B406" s="2" t="s">
        <v>439</v>
      </c>
      <c r="C406" s="2" t="s">
        <v>16</v>
      </c>
      <c r="D406" s="2" t="s">
        <v>2</v>
      </c>
      <c r="E406" s="2">
        <v>11</v>
      </c>
      <c r="F406" s="8">
        <v>110218</v>
      </c>
      <c r="G406" s="10">
        <v>0.15</v>
      </c>
      <c r="H406" s="18" t="str">
        <f>IF(tbl_Ventas[[#This Row],[Cantidad]]&gt;=10,"Venta Alta","Venta Normal")</f>
        <v>Venta Alta</v>
      </c>
    </row>
    <row r="407" spans="1:8" ht="15.75" customHeight="1" x14ac:dyDescent="0.3">
      <c r="A407" s="1">
        <v>46030</v>
      </c>
      <c r="B407" s="2" t="s">
        <v>440</v>
      </c>
      <c r="C407" s="2" t="s">
        <v>16</v>
      </c>
      <c r="D407" s="2" t="s">
        <v>13</v>
      </c>
      <c r="E407" s="2">
        <v>7</v>
      </c>
      <c r="F407" s="8">
        <v>235415</v>
      </c>
      <c r="G407" s="11">
        <v>0</v>
      </c>
      <c r="H407" s="17" t="str">
        <f>IF(tbl_Ventas[[#This Row],[Cantidad]]&gt;=10,"Venta Alta","Venta Normal")</f>
        <v>Venta Normal</v>
      </c>
    </row>
    <row r="408" spans="1:8" ht="15.75" customHeight="1" x14ac:dyDescent="0.3">
      <c r="A408" s="1">
        <v>46030</v>
      </c>
      <c r="B408" s="2" t="s">
        <v>441</v>
      </c>
      <c r="C408" s="2" t="s">
        <v>12</v>
      </c>
      <c r="D408" s="2" t="s">
        <v>17</v>
      </c>
      <c r="E408" s="2">
        <v>1</v>
      </c>
      <c r="F408" s="8">
        <v>519037</v>
      </c>
      <c r="G408" s="10">
        <v>0.08</v>
      </c>
      <c r="H408" s="18" t="str">
        <f>IF(tbl_Ventas[[#This Row],[Cantidad]]&gt;=10,"Venta Alta","Venta Normal")</f>
        <v>Venta Normal</v>
      </c>
    </row>
    <row r="409" spans="1:8" ht="15.75" customHeight="1" x14ac:dyDescent="0.3">
      <c r="A409" s="1">
        <v>46030</v>
      </c>
      <c r="B409" s="2" t="s">
        <v>442</v>
      </c>
      <c r="C409" s="2" t="s">
        <v>1</v>
      </c>
      <c r="D409" s="2" t="s">
        <v>17</v>
      </c>
      <c r="E409" s="2">
        <v>10</v>
      </c>
      <c r="F409" s="8">
        <v>554576</v>
      </c>
      <c r="G409" s="11">
        <v>0</v>
      </c>
      <c r="H409" s="17" t="str">
        <f>IF(tbl_Ventas[[#This Row],[Cantidad]]&gt;=10,"Venta Alta","Venta Normal")</f>
        <v>Venta Alta</v>
      </c>
    </row>
    <row r="410" spans="1:8" ht="15.75" customHeight="1" x14ac:dyDescent="0.3">
      <c r="A410" s="1">
        <v>46030</v>
      </c>
      <c r="B410" s="2" t="s">
        <v>443</v>
      </c>
      <c r="C410" s="2" t="s">
        <v>7</v>
      </c>
      <c r="D410" s="2" t="s">
        <v>25</v>
      </c>
      <c r="E410" s="2">
        <v>12</v>
      </c>
      <c r="F410" s="8">
        <v>790390</v>
      </c>
      <c r="G410" s="10">
        <v>0.09</v>
      </c>
      <c r="H410" s="18" t="str">
        <f>IF(tbl_Ventas[[#This Row],[Cantidad]]&gt;=10,"Venta Alta","Venta Normal")</f>
        <v>Venta Alta</v>
      </c>
    </row>
    <row r="411" spans="1:8" ht="15.75" customHeight="1" x14ac:dyDescent="0.3">
      <c r="A411" s="1">
        <v>46030</v>
      </c>
      <c r="B411" s="2" t="s">
        <v>444</v>
      </c>
      <c r="C411" s="2" t="s">
        <v>22</v>
      </c>
      <c r="D411" s="2" t="s">
        <v>2</v>
      </c>
      <c r="E411" s="2">
        <v>1</v>
      </c>
      <c r="F411" s="8">
        <v>503749</v>
      </c>
      <c r="G411" s="10">
        <v>0.15</v>
      </c>
      <c r="H411" s="18" t="str">
        <f>IF(tbl_Ventas[[#This Row],[Cantidad]]&gt;=10,"Venta Alta","Venta Normal")</f>
        <v>Venta Normal</v>
      </c>
    </row>
    <row r="412" spans="1:8" ht="15.75" customHeight="1" x14ac:dyDescent="0.3">
      <c r="A412" s="1">
        <v>46030</v>
      </c>
      <c r="B412" s="2" t="s">
        <v>445</v>
      </c>
      <c r="C412" s="2" t="s">
        <v>5</v>
      </c>
      <c r="D412" s="2" t="s">
        <v>13</v>
      </c>
      <c r="E412" s="2">
        <v>9</v>
      </c>
      <c r="F412" s="8">
        <v>119634</v>
      </c>
      <c r="G412" s="10">
        <v>7.0000000000000007E-2</v>
      </c>
      <c r="H412" s="18" t="str">
        <f>IF(tbl_Ventas[[#This Row],[Cantidad]]&gt;=10,"Venta Alta","Venta Normal")</f>
        <v>Venta Normal</v>
      </c>
    </row>
    <row r="413" spans="1:8" ht="15.75" customHeight="1" x14ac:dyDescent="0.3">
      <c r="A413" s="1">
        <v>46030</v>
      </c>
      <c r="B413" s="2" t="s">
        <v>446</v>
      </c>
      <c r="C413" s="2" t="s">
        <v>7</v>
      </c>
      <c r="D413" s="2" t="s">
        <v>2</v>
      </c>
      <c r="E413" s="2">
        <v>7</v>
      </c>
      <c r="F413" s="8">
        <v>490606</v>
      </c>
      <c r="G413" s="10">
        <v>0.11</v>
      </c>
      <c r="H413" s="18" t="str">
        <f>IF(tbl_Ventas[[#This Row],[Cantidad]]&gt;=10,"Venta Alta","Venta Normal")</f>
        <v>Venta Normal</v>
      </c>
    </row>
    <row r="414" spans="1:8" ht="15.75" customHeight="1" x14ac:dyDescent="0.3">
      <c r="A414" s="1">
        <v>46030</v>
      </c>
      <c r="B414" s="2" t="s">
        <v>447</v>
      </c>
      <c r="C414" s="2" t="s">
        <v>5</v>
      </c>
      <c r="D414" s="2" t="s">
        <v>51</v>
      </c>
      <c r="E414" s="2">
        <v>9</v>
      </c>
      <c r="F414" s="8">
        <v>680929</v>
      </c>
      <c r="G414" s="11">
        <v>0</v>
      </c>
      <c r="H414" s="17" t="str">
        <f>IF(tbl_Ventas[[#This Row],[Cantidad]]&gt;=10,"Venta Alta","Venta Normal")</f>
        <v>Venta Normal</v>
      </c>
    </row>
    <row r="415" spans="1:8" ht="15.75" customHeight="1" x14ac:dyDescent="0.3">
      <c r="A415" s="1">
        <v>46030</v>
      </c>
      <c r="B415" s="2" t="s">
        <v>448</v>
      </c>
      <c r="C415" s="2" t="s">
        <v>1</v>
      </c>
      <c r="D415" s="2" t="s">
        <v>51</v>
      </c>
      <c r="E415" s="2">
        <v>5</v>
      </c>
      <c r="F415" s="8">
        <v>545808</v>
      </c>
      <c r="G415" s="10">
        <v>0.08</v>
      </c>
      <c r="H415" s="18" t="str">
        <f>IF(tbl_Ventas[[#This Row],[Cantidad]]&gt;=10,"Venta Alta","Venta Normal")</f>
        <v>Venta Normal</v>
      </c>
    </row>
    <row r="416" spans="1:8" ht="15.75" customHeight="1" x14ac:dyDescent="0.3">
      <c r="A416" s="1">
        <v>46030</v>
      </c>
      <c r="B416" s="2" t="s">
        <v>449</v>
      </c>
      <c r="C416" s="2" t="s">
        <v>22</v>
      </c>
      <c r="D416" s="2" t="s">
        <v>2</v>
      </c>
      <c r="E416" s="2">
        <v>7</v>
      </c>
      <c r="F416" s="8">
        <v>366967</v>
      </c>
      <c r="G416" s="10">
        <v>0.12</v>
      </c>
      <c r="H416" s="18" t="str">
        <f>IF(tbl_Ventas[[#This Row],[Cantidad]]&gt;=10,"Venta Alta","Venta Normal")</f>
        <v>Venta Normal</v>
      </c>
    </row>
    <row r="417" spans="1:8" ht="15.75" customHeight="1" x14ac:dyDescent="0.3">
      <c r="A417" s="1">
        <v>46030</v>
      </c>
      <c r="B417" s="2" t="s">
        <v>450</v>
      </c>
      <c r="C417" s="2" t="s">
        <v>1</v>
      </c>
      <c r="D417" s="2" t="s">
        <v>13</v>
      </c>
      <c r="E417" s="2">
        <v>2</v>
      </c>
      <c r="F417" s="8">
        <v>306298</v>
      </c>
      <c r="G417" s="11">
        <v>0</v>
      </c>
      <c r="H417" s="17" t="str">
        <f>IF(tbl_Ventas[[#This Row],[Cantidad]]&gt;=10,"Venta Alta","Venta Normal")</f>
        <v>Venta Normal</v>
      </c>
    </row>
    <row r="418" spans="1:8" ht="15.75" customHeight="1" x14ac:dyDescent="0.3">
      <c r="A418" s="1">
        <v>46030</v>
      </c>
      <c r="B418" s="2" t="s">
        <v>451</v>
      </c>
      <c r="C418" s="2" t="s">
        <v>71</v>
      </c>
      <c r="D418" s="2" t="s">
        <v>13</v>
      </c>
      <c r="E418" s="2">
        <v>4</v>
      </c>
      <c r="F418" s="8">
        <v>369247</v>
      </c>
      <c r="G418" s="11">
        <v>0</v>
      </c>
      <c r="H418" s="17" t="str">
        <f>IF(tbl_Ventas[[#This Row],[Cantidad]]&gt;=10,"Venta Alta","Venta Normal")</f>
        <v>Venta Normal</v>
      </c>
    </row>
    <row r="419" spans="1:8" ht="15.75" customHeight="1" x14ac:dyDescent="0.3">
      <c r="A419" s="1">
        <v>46030</v>
      </c>
      <c r="B419" s="2" t="s">
        <v>452</v>
      </c>
      <c r="C419" s="2" t="s">
        <v>7</v>
      </c>
      <c r="D419" s="2" t="s">
        <v>17</v>
      </c>
      <c r="E419" s="2">
        <v>10</v>
      </c>
      <c r="F419" s="8">
        <v>196440</v>
      </c>
      <c r="G419" s="11">
        <v>0</v>
      </c>
      <c r="H419" s="17" t="str">
        <f>IF(tbl_Ventas[[#This Row],[Cantidad]]&gt;=10,"Venta Alta","Venta Normal")</f>
        <v>Venta Alta</v>
      </c>
    </row>
    <row r="420" spans="1:8" ht="15.75" customHeight="1" x14ac:dyDescent="0.3">
      <c r="A420" s="1">
        <v>46030</v>
      </c>
      <c r="B420" s="2" t="s">
        <v>453</v>
      </c>
      <c r="C420" s="2" t="s">
        <v>22</v>
      </c>
      <c r="D420" s="2" t="s">
        <v>13</v>
      </c>
      <c r="E420" s="2">
        <v>12</v>
      </c>
      <c r="F420" s="8">
        <v>54235</v>
      </c>
      <c r="G420" s="10">
        <v>0.09</v>
      </c>
      <c r="H420" s="18" t="str">
        <f>IF(tbl_Ventas[[#This Row],[Cantidad]]&gt;=10,"Venta Alta","Venta Normal")</f>
        <v>Venta Alta</v>
      </c>
    </row>
    <row r="421" spans="1:8" ht="15.75" customHeight="1" x14ac:dyDescent="0.3">
      <c r="A421" s="1">
        <v>46030</v>
      </c>
      <c r="B421" s="2" t="s">
        <v>454</v>
      </c>
      <c r="C421" s="2" t="s">
        <v>16</v>
      </c>
      <c r="D421" s="2" t="s">
        <v>51</v>
      </c>
      <c r="E421" s="2">
        <v>4</v>
      </c>
      <c r="F421" s="8">
        <v>341325</v>
      </c>
      <c r="G421" s="10">
        <v>0.06</v>
      </c>
      <c r="H421" s="18" t="str">
        <f>IF(tbl_Ventas[[#This Row],[Cantidad]]&gt;=10,"Venta Alta","Venta Normal")</f>
        <v>Venta Normal</v>
      </c>
    </row>
    <row r="422" spans="1:8" ht="15.75" customHeight="1" x14ac:dyDescent="0.3">
      <c r="A422" s="1">
        <v>46030</v>
      </c>
      <c r="B422" s="2" t="s">
        <v>455</v>
      </c>
      <c r="C422" s="2" t="s">
        <v>1</v>
      </c>
      <c r="D422" s="2" t="s">
        <v>17</v>
      </c>
      <c r="E422" s="2">
        <v>12</v>
      </c>
      <c r="F422" s="8">
        <v>458336</v>
      </c>
      <c r="G422" s="11">
        <v>0</v>
      </c>
      <c r="H422" s="17" t="str">
        <f>IF(tbl_Ventas[[#This Row],[Cantidad]]&gt;=10,"Venta Alta","Venta Normal")</f>
        <v>Venta Alta</v>
      </c>
    </row>
    <row r="423" spans="1:8" ht="15.75" customHeight="1" x14ac:dyDescent="0.3">
      <c r="A423" s="1">
        <v>46030</v>
      </c>
      <c r="B423" s="2" t="s">
        <v>456</v>
      </c>
      <c r="C423" s="2" t="s">
        <v>33</v>
      </c>
      <c r="D423" s="2" t="s">
        <v>13</v>
      </c>
      <c r="E423" s="2">
        <v>12</v>
      </c>
      <c r="F423" s="8">
        <v>445455</v>
      </c>
      <c r="G423" s="10">
        <v>0.02</v>
      </c>
      <c r="H423" s="18" t="str">
        <f>IF(tbl_Ventas[[#This Row],[Cantidad]]&gt;=10,"Venta Alta","Venta Normal")</f>
        <v>Venta Alta</v>
      </c>
    </row>
    <row r="424" spans="1:8" ht="15.75" customHeight="1" x14ac:dyDescent="0.3">
      <c r="A424" s="1">
        <v>46030</v>
      </c>
      <c r="B424" s="2" t="s">
        <v>457</v>
      </c>
      <c r="C424" s="2" t="s">
        <v>1</v>
      </c>
      <c r="D424" s="2" t="s">
        <v>2</v>
      </c>
      <c r="E424" s="2">
        <v>4</v>
      </c>
      <c r="F424" s="8">
        <v>735568</v>
      </c>
      <c r="G424" s="11">
        <v>0</v>
      </c>
      <c r="H424" s="17" t="str">
        <f>IF(tbl_Ventas[[#This Row],[Cantidad]]&gt;=10,"Venta Alta","Venta Normal")</f>
        <v>Venta Normal</v>
      </c>
    </row>
    <row r="425" spans="1:8" ht="15.75" customHeight="1" x14ac:dyDescent="0.3">
      <c r="A425" s="1">
        <v>46030</v>
      </c>
      <c r="B425" s="2" t="s">
        <v>458</v>
      </c>
      <c r="C425" s="2" t="s">
        <v>5</v>
      </c>
      <c r="D425" s="2" t="s">
        <v>2</v>
      </c>
      <c r="E425" s="2">
        <v>1</v>
      </c>
      <c r="F425" s="8">
        <v>238180</v>
      </c>
      <c r="G425" s="10">
        <v>0.06</v>
      </c>
      <c r="H425" s="18" t="str">
        <f>IF(tbl_Ventas[[#This Row],[Cantidad]]&gt;=10,"Venta Alta","Venta Normal")</f>
        <v>Venta Normal</v>
      </c>
    </row>
    <row r="426" spans="1:8" ht="15.75" customHeight="1" x14ac:dyDescent="0.3">
      <c r="A426" s="1">
        <v>46030</v>
      </c>
      <c r="B426" s="2" t="s">
        <v>459</v>
      </c>
      <c r="C426" s="2" t="s">
        <v>12</v>
      </c>
      <c r="D426" s="2" t="s">
        <v>2</v>
      </c>
      <c r="E426" s="2">
        <v>9</v>
      </c>
      <c r="F426" s="8">
        <v>461367</v>
      </c>
      <c r="G426" s="10">
        <v>0.11</v>
      </c>
      <c r="H426" s="18" t="str">
        <f>IF(tbl_Ventas[[#This Row],[Cantidad]]&gt;=10,"Venta Alta","Venta Normal")</f>
        <v>Venta Normal</v>
      </c>
    </row>
    <row r="427" spans="1:8" ht="15.75" customHeight="1" x14ac:dyDescent="0.3">
      <c r="A427" s="1">
        <v>46030</v>
      </c>
      <c r="B427" s="2" t="s">
        <v>460</v>
      </c>
      <c r="C427" s="2" t="s">
        <v>5</v>
      </c>
      <c r="D427" s="2" t="s">
        <v>25</v>
      </c>
      <c r="E427" s="2">
        <v>4</v>
      </c>
      <c r="F427" s="8">
        <v>234537</v>
      </c>
      <c r="G427" s="10">
        <v>0.12</v>
      </c>
      <c r="H427" s="18" t="str">
        <f>IF(tbl_Ventas[[#This Row],[Cantidad]]&gt;=10,"Venta Alta","Venta Normal")</f>
        <v>Venta Normal</v>
      </c>
    </row>
    <row r="428" spans="1:8" ht="15.75" customHeight="1" x14ac:dyDescent="0.3">
      <c r="A428" s="1">
        <v>46030</v>
      </c>
      <c r="B428" s="2" t="s">
        <v>461</v>
      </c>
      <c r="C428" s="2" t="s">
        <v>7</v>
      </c>
      <c r="D428" s="2" t="s">
        <v>13</v>
      </c>
      <c r="E428" s="2">
        <v>6</v>
      </c>
      <c r="F428" s="8">
        <v>648355</v>
      </c>
      <c r="G428" s="10">
        <v>0.09</v>
      </c>
      <c r="H428" s="18" t="str">
        <f>IF(tbl_Ventas[[#This Row],[Cantidad]]&gt;=10,"Venta Alta","Venta Normal")</f>
        <v>Venta Normal</v>
      </c>
    </row>
    <row r="429" spans="1:8" ht="15.75" customHeight="1" x14ac:dyDescent="0.3">
      <c r="A429" s="1">
        <v>46030</v>
      </c>
      <c r="B429" s="2" t="s">
        <v>462</v>
      </c>
      <c r="C429" s="2" t="s">
        <v>1</v>
      </c>
      <c r="D429" s="2" t="s">
        <v>51</v>
      </c>
      <c r="E429" s="2">
        <v>2</v>
      </c>
      <c r="F429" s="8">
        <v>362896</v>
      </c>
      <c r="G429" s="11">
        <v>0</v>
      </c>
      <c r="H429" s="17" t="str">
        <f>IF(tbl_Ventas[[#This Row],[Cantidad]]&gt;=10,"Venta Alta","Venta Normal")</f>
        <v>Venta Normal</v>
      </c>
    </row>
    <row r="430" spans="1:8" ht="15.75" customHeight="1" x14ac:dyDescent="0.3">
      <c r="A430" s="1">
        <v>46030</v>
      </c>
      <c r="B430" s="2" t="s">
        <v>463</v>
      </c>
      <c r="C430" s="2" t="s">
        <v>16</v>
      </c>
      <c r="D430" s="2" t="s">
        <v>17</v>
      </c>
      <c r="E430" s="2">
        <v>6</v>
      </c>
      <c r="F430" s="8">
        <v>254948</v>
      </c>
      <c r="G430" s="10">
        <v>0.03</v>
      </c>
      <c r="H430" s="18" t="str">
        <f>IF(tbl_Ventas[[#This Row],[Cantidad]]&gt;=10,"Venta Alta","Venta Normal")</f>
        <v>Venta Normal</v>
      </c>
    </row>
    <row r="431" spans="1:8" ht="15.75" customHeight="1" x14ac:dyDescent="0.3">
      <c r="A431" s="1">
        <v>46030</v>
      </c>
      <c r="B431" s="2" t="s">
        <v>464</v>
      </c>
      <c r="C431" s="2" t="s">
        <v>71</v>
      </c>
      <c r="D431" s="2" t="s">
        <v>51</v>
      </c>
      <c r="E431" s="2">
        <v>11</v>
      </c>
      <c r="F431" s="8">
        <v>581472</v>
      </c>
      <c r="G431" s="10">
        <v>7.0000000000000007E-2</v>
      </c>
      <c r="H431" s="18" t="str">
        <f>IF(tbl_Ventas[[#This Row],[Cantidad]]&gt;=10,"Venta Alta","Venta Normal")</f>
        <v>Venta Alta</v>
      </c>
    </row>
    <row r="432" spans="1:8" ht="15.75" customHeight="1" x14ac:dyDescent="0.3">
      <c r="A432" s="1">
        <v>46030</v>
      </c>
      <c r="B432" s="2" t="s">
        <v>465</v>
      </c>
      <c r="C432" s="2" t="s">
        <v>33</v>
      </c>
      <c r="D432" s="2" t="s">
        <v>13</v>
      </c>
      <c r="E432" s="2">
        <v>9</v>
      </c>
      <c r="F432" s="8">
        <v>484735</v>
      </c>
      <c r="G432" s="10">
        <v>0.08</v>
      </c>
      <c r="H432" s="18" t="str">
        <f>IF(tbl_Ventas[[#This Row],[Cantidad]]&gt;=10,"Venta Alta","Venta Normal")</f>
        <v>Venta Normal</v>
      </c>
    </row>
    <row r="433" spans="1:8" ht="15.75" customHeight="1" x14ac:dyDescent="0.3">
      <c r="A433" s="1">
        <v>46030</v>
      </c>
      <c r="B433" s="2" t="s">
        <v>466</v>
      </c>
      <c r="C433" s="2" t="s">
        <v>7</v>
      </c>
      <c r="D433" s="2" t="s">
        <v>13</v>
      </c>
      <c r="E433" s="2">
        <v>10</v>
      </c>
      <c r="F433" s="8">
        <v>264098</v>
      </c>
      <c r="G433" s="10">
        <v>0.08</v>
      </c>
      <c r="H433" s="18" t="str">
        <f>IF(tbl_Ventas[[#This Row],[Cantidad]]&gt;=10,"Venta Alta","Venta Normal")</f>
        <v>Venta Alta</v>
      </c>
    </row>
    <row r="434" spans="1:8" ht="15.75" customHeight="1" x14ac:dyDescent="0.3">
      <c r="A434" s="1">
        <v>46030</v>
      </c>
      <c r="B434" s="2" t="s">
        <v>467</v>
      </c>
      <c r="C434" s="2" t="s">
        <v>71</v>
      </c>
      <c r="D434" s="2" t="s">
        <v>2</v>
      </c>
      <c r="E434" s="2">
        <v>12</v>
      </c>
      <c r="F434" s="8">
        <v>555291</v>
      </c>
      <c r="G434" s="11">
        <v>0</v>
      </c>
      <c r="H434" s="17" t="str">
        <f>IF(tbl_Ventas[[#This Row],[Cantidad]]&gt;=10,"Venta Alta","Venta Normal")</f>
        <v>Venta Alta</v>
      </c>
    </row>
    <row r="435" spans="1:8" ht="15.75" customHeight="1" x14ac:dyDescent="0.3">
      <c r="A435" s="1">
        <v>46030</v>
      </c>
      <c r="B435" s="2" t="s">
        <v>468</v>
      </c>
      <c r="C435" s="2" t="s">
        <v>71</v>
      </c>
      <c r="D435" s="2" t="s">
        <v>25</v>
      </c>
      <c r="E435" s="2">
        <v>6</v>
      </c>
      <c r="F435" s="8">
        <v>800830</v>
      </c>
      <c r="G435" s="11">
        <v>0</v>
      </c>
      <c r="H435" s="17" t="str">
        <f>IF(tbl_Ventas[[#This Row],[Cantidad]]&gt;=10,"Venta Alta","Venta Normal")</f>
        <v>Venta Normal</v>
      </c>
    </row>
    <row r="436" spans="1:8" ht="15.75" customHeight="1" x14ac:dyDescent="0.3">
      <c r="A436" s="1">
        <v>46030</v>
      </c>
      <c r="B436" s="2" t="s">
        <v>469</v>
      </c>
      <c r="C436" s="2" t="s">
        <v>5</v>
      </c>
      <c r="D436" s="2" t="s">
        <v>13</v>
      </c>
      <c r="E436" s="2">
        <v>8</v>
      </c>
      <c r="F436" s="8">
        <v>186623</v>
      </c>
      <c r="G436" s="11">
        <v>0</v>
      </c>
      <c r="H436" s="17" t="str">
        <f>IF(tbl_Ventas[[#This Row],[Cantidad]]&gt;=10,"Venta Alta","Venta Normal")</f>
        <v>Venta Normal</v>
      </c>
    </row>
    <row r="437" spans="1:8" ht="15.75" customHeight="1" x14ac:dyDescent="0.3">
      <c r="A437" s="1">
        <v>46030</v>
      </c>
      <c r="B437" s="2" t="s">
        <v>436</v>
      </c>
      <c r="C437" s="2" t="s">
        <v>16</v>
      </c>
      <c r="D437" s="2" t="s">
        <v>17</v>
      </c>
      <c r="E437" s="2">
        <v>5</v>
      </c>
      <c r="F437" s="8">
        <v>313285</v>
      </c>
      <c r="G437" s="11">
        <v>0</v>
      </c>
      <c r="H437" s="17" t="str">
        <f>IF(tbl_Ventas[[#This Row],[Cantidad]]&gt;=10,"Venta Alta","Venta Normal")</f>
        <v>Venta Normal</v>
      </c>
    </row>
    <row r="438" spans="1:8" ht="15.75" customHeight="1" x14ac:dyDescent="0.3">
      <c r="A438" s="1">
        <v>46031</v>
      </c>
      <c r="B438" s="2" t="s">
        <v>470</v>
      </c>
      <c r="C438" s="2" t="s">
        <v>33</v>
      </c>
      <c r="D438" s="2" t="s">
        <v>51</v>
      </c>
      <c r="E438" s="2">
        <v>8</v>
      </c>
      <c r="F438" s="8">
        <v>671822</v>
      </c>
      <c r="G438" s="10">
        <v>0.13</v>
      </c>
      <c r="H438" s="18" t="str">
        <f>IF(tbl_Ventas[[#This Row],[Cantidad]]&gt;=10,"Venta Alta","Venta Normal")</f>
        <v>Venta Normal</v>
      </c>
    </row>
    <row r="439" spans="1:8" ht="15.75" customHeight="1" x14ac:dyDescent="0.3">
      <c r="A439" s="1">
        <v>46031</v>
      </c>
      <c r="B439" s="2" t="s">
        <v>471</v>
      </c>
      <c r="C439" s="2" t="s">
        <v>33</v>
      </c>
      <c r="D439" s="2" t="s">
        <v>17</v>
      </c>
      <c r="E439" s="2">
        <v>2</v>
      </c>
      <c r="F439" s="8">
        <v>327113</v>
      </c>
      <c r="G439" s="11">
        <v>0</v>
      </c>
      <c r="H439" s="17" t="str">
        <f>IF(tbl_Ventas[[#This Row],[Cantidad]]&gt;=10,"Venta Alta","Venta Normal")</f>
        <v>Venta Normal</v>
      </c>
    </row>
    <row r="440" spans="1:8" ht="15.75" customHeight="1" x14ac:dyDescent="0.3">
      <c r="A440" s="1">
        <v>46031</v>
      </c>
      <c r="B440" s="2" t="s">
        <v>472</v>
      </c>
      <c r="C440" s="2" t="s">
        <v>5</v>
      </c>
      <c r="D440" s="2" t="s">
        <v>51</v>
      </c>
      <c r="E440" s="2">
        <v>5</v>
      </c>
      <c r="F440" s="8">
        <v>245022</v>
      </c>
      <c r="G440" s="10">
        <v>7.0000000000000007E-2</v>
      </c>
      <c r="H440" s="18" t="str">
        <f>IF(tbl_Ventas[[#This Row],[Cantidad]]&gt;=10,"Venta Alta","Venta Normal")</f>
        <v>Venta Normal</v>
      </c>
    </row>
    <row r="441" spans="1:8" ht="15.75" customHeight="1" x14ac:dyDescent="0.3">
      <c r="A441" s="1">
        <v>46031</v>
      </c>
      <c r="B441" s="2" t="s">
        <v>473</v>
      </c>
      <c r="C441" s="2" t="s">
        <v>22</v>
      </c>
      <c r="D441" s="2" t="s">
        <v>13</v>
      </c>
      <c r="E441" s="2">
        <v>8</v>
      </c>
      <c r="F441" s="8">
        <v>234052</v>
      </c>
      <c r="G441" s="10">
        <v>0.02</v>
      </c>
      <c r="H441" s="18" t="str">
        <f>IF(tbl_Ventas[[#This Row],[Cantidad]]&gt;=10,"Venta Alta","Venta Normal")</f>
        <v>Venta Normal</v>
      </c>
    </row>
    <row r="442" spans="1:8" ht="15.75" customHeight="1" x14ac:dyDescent="0.3">
      <c r="A442" s="1">
        <v>46031</v>
      </c>
      <c r="B442" s="2" t="s">
        <v>474</v>
      </c>
      <c r="C442" s="2" t="s">
        <v>33</v>
      </c>
      <c r="D442" s="2" t="s">
        <v>13</v>
      </c>
      <c r="E442" s="2">
        <v>12</v>
      </c>
      <c r="F442" s="8">
        <v>111608</v>
      </c>
      <c r="G442" s="10">
        <v>0.14000000000000001</v>
      </c>
      <c r="H442" s="18" t="str">
        <f>IF(tbl_Ventas[[#This Row],[Cantidad]]&gt;=10,"Venta Alta","Venta Normal")</f>
        <v>Venta Alta</v>
      </c>
    </row>
    <row r="443" spans="1:8" ht="15.75" customHeight="1" x14ac:dyDescent="0.3">
      <c r="A443" s="1">
        <v>46031</v>
      </c>
      <c r="B443" s="2" t="s">
        <v>475</v>
      </c>
      <c r="C443" s="2" t="s">
        <v>71</v>
      </c>
      <c r="D443" s="2" t="s">
        <v>51</v>
      </c>
      <c r="E443" s="2">
        <v>1</v>
      </c>
      <c r="F443" s="8">
        <v>689931</v>
      </c>
      <c r="G443" s="11">
        <v>0</v>
      </c>
      <c r="H443" s="17" t="str">
        <f>IF(tbl_Ventas[[#This Row],[Cantidad]]&gt;=10,"Venta Alta","Venta Normal")</f>
        <v>Venta Normal</v>
      </c>
    </row>
    <row r="444" spans="1:8" ht="15.75" customHeight="1" x14ac:dyDescent="0.3">
      <c r="A444" s="1">
        <v>46031</v>
      </c>
      <c r="B444" s="2" t="s">
        <v>476</v>
      </c>
      <c r="C444" s="2" t="s">
        <v>1</v>
      </c>
      <c r="D444" s="2" t="s">
        <v>25</v>
      </c>
      <c r="E444" s="2">
        <v>10</v>
      </c>
      <c r="F444" s="8">
        <v>275690</v>
      </c>
      <c r="G444" s="10">
        <v>0.04</v>
      </c>
      <c r="H444" s="18" t="str">
        <f>IF(tbl_Ventas[[#This Row],[Cantidad]]&gt;=10,"Venta Alta","Venta Normal")</f>
        <v>Venta Alta</v>
      </c>
    </row>
    <row r="445" spans="1:8" ht="15.75" customHeight="1" x14ac:dyDescent="0.3">
      <c r="A445" s="1">
        <v>46031</v>
      </c>
      <c r="B445" s="2" t="s">
        <v>477</v>
      </c>
      <c r="C445" s="2" t="s">
        <v>16</v>
      </c>
      <c r="D445" s="2" t="s">
        <v>51</v>
      </c>
      <c r="E445" s="2">
        <v>2</v>
      </c>
      <c r="F445" s="8">
        <v>551805</v>
      </c>
      <c r="G445" s="10">
        <v>0.14000000000000001</v>
      </c>
      <c r="H445" s="18" t="str">
        <f>IF(tbl_Ventas[[#This Row],[Cantidad]]&gt;=10,"Venta Alta","Venta Normal")</f>
        <v>Venta Normal</v>
      </c>
    </row>
    <row r="446" spans="1:8" ht="15.75" customHeight="1" x14ac:dyDescent="0.3">
      <c r="A446" s="1">
        <v>46031</v>
      </c>
      <c r="B446" s="2" t="s">
        <v>478</v>
      </c>
      <c r="C446" s="2" t="s">
        <v>1</v>
      </c>
      <c r="D446" s="2" t="s">
        <v>13</v>
      </c>
      <c r="E446" s="2">
        <v>6</v>
      </c>
      <c r="F446" s="8">
        <v>660126</v>
      </c>
      <c r="G446" s="10">
        <v>0.06</v>
      </c>
      <c r="H446" s="18" t="str">
        <f>IF(tbl_Ventas[[#This Row],[Cantidad]]&gt;=10,"Venta Alta","Venta Normal")</f>
        <v>Venta Normal</v>
      </c>
    </row>
    <row r="447" spans="1:8" ht="15.75" customHeight="1" x14ac:dyDescent="0.3">
      <c r="A447" s="1">
        <v>46031</v>
      </c>
      <c r="B447" s="2" t="s">
        <v>479</v>
      </c>
      <c r="C447" s="2" t="s">
        <v>33</v>
      </c>
      <c r="D447" s="2" t="s">
        <v>17</v>
      </c>
      <c r="E447" s="2">
        <v>9</v>
      </c>
      <c r="F447" s="8">
        <v>273450</v>
      </c>
      <c r="G447" s="10">
        <v>0.06</v>
      </c>
      <c r="H447" s="18" t="str">
        <f>IF(tbl_Ventas[[#This Row],[Cantidad]]&gt;=10,"Venta Alta","Venta Normal")</f>
        <v>Venta Normal</v>
      </c>
    </row>
    <row r="448" spans="1:8" ht="15.75" customHeight="1" x14ac:dyDescent="0.3">
      <c r="A448" s="1">
        <v>46031</v>
      </c>
      <c r="B448" s="2" t="s">
        <v>480</v>
      </c>
      <c r="C448" s="2" t="s">
        <v>22</v>
      </c>
      <c r="D448" s="2" t="s">
        <v>2</v>
      </c>
      <c r="E448" s="2">
        <v>12</v>
      </c>
      <c r="F448" s="8">
        <v>661401</v>
      </c>
      <c r="G448" s="11">
        <v>0</v>
      </c>
      <c r="H448" s="17" t="str">
        <f>IF(tbl_Ventas[[#This Row],[Cantidad]]&gt;=10,"Venta Alta","Venta Normal")</f>
        <v>Venta Alta</v>
      </c>
    </row>
    <row r="449" spans="1:8" ht="15.75" customHeight="1" x14ac:dyDescent="0.3">
      <c r="A449" s="1">
        <v>46031</v>
      </c>
      <c r="B449" s="2" t="s">
        <v>481</v>
      </c>
      <c r="C449" s="2" t="s">
        <v>5</v>
      </c>
      <c r="D449" s="2" t="s">
        <v>51</v>
      </c>
      <c r="E449" s="2">
        <v>4</v>
      </c>
      <c r="F449" s="8">
        <v>448328</v>
      </c>
      <c r="G449" s="10">
        <v>0.04</v>
      </c>
      <c r="H449" s="18" t="str">
        <f>IF(tbl_Ventas[[#This Row],[Cantidad]]&gt;=10,"Venta Alta","Venta Normal")</f>
        <v>Venta Normal</v>
      </c>
    </row>
    <row r="450" spans="1:8" ht="15.75" customHeight="1" x14ac:dyDescent="0.3">
      <c r="A450" s="1">
        <v>46031</v>
      </c>
      <c r="B450" s="2" t="s">
        <v>482</v>
      </c>
      <c r="C450" s="2" t="s">
        <v>7</v>
      </c>
      <c r="D450" s="2" t="s">
        <v>51</v>
      </c>
      <c r="E450" s="2">
        <v>11</v>
      </c>
      <c r="F450" s="8">
        <v>555868</v>
      </c>
      <c r="G450" s="10">
        <v>0.12</v>
      </c>
      <c r="H450" s="18" t="str">
        <f>IF(tbl_Ventas[[#This Row],[Cantidad]]&gt;=10,"Venta Alta","Venta Normal")</f>
        <v>Venta Alta</v>
      </c>
    </row>
    <row r="451" spans="1:8" ht="15.75" customHeight="1" x14ac:dyDescent="0.3">
      <c r="A451" s="1">
        <v>46031</v>
      </c>
      <c r="B451" s="2" t="s">
        <v>483</v>
      </c>
      <c r="C451" s="2" t="s">
        <v>22</v>
      </c>
      <c r="D451" s="2" t="s">
        <v>2</v>
      </c>
      <c r="E451" s="2">
        <v>4</v>
      </c>
      <c r="F451" s="8">
        <v>67960</v>
      </c>
      <c r="G451" s="10">
        <v>7.0000000000000007E-2</v>
      </c>
      <c r="H451" s="18" t="str">
        <f>IF(tbl_Ventas[[#This Row],[Cantidad]]&gt;=10,"Venta Alta","Venta Normal")</f>
        <v>Venta Normal</v>
      </c>
    </row>
    <row r="452" spans="1:8" ht="15.75" customHeight="1" x14ac:dyDescent="0.3">
      <c r="A452" s="1">
        <v>46031</v>
      </c>
      <c r="B452" s="2" t="s">
        <v>484</v>
      </c>
      <c r="C452" s="2" t="s">
        <v>16</v>
      </c>
      <c r="D452" s="2" t="s">
        <v>51</v>
      </c>
      <c r="E452" s="2">
        <v>1</v>
      </c>
      <c r="F452" s="8">
        <v>464457</v>
      </c>
      <c r="G452" s="10">
        <v>0.05</v>
      </c>
      <c r="H452" s="18" t="str">
        <f>IF(tbl_Ventas[[#This Row],[Cantidad]]&gt;=10,"Venta Alta","Venta Normal")</f>
        <v>Venta Normal</v>
      </c>
    </row>
    <row r="453" spans="1:8" ht="15.75" customHeight="1" x14ac:dyDescent="0.3">
      <c r="A453" s="1">
        <v>46031</v>
      </c>
      <c r="B453" s="2" t="s">
        <v>485</v>
      </c>
      <c r="C453" s="2" t="s">
        <v>7</v>
      </c>
      <c r="D453" s="2" t="s">
        <v>2</v>
      </c>
      <c r="E453" s="2">
        <v>10</v>
      </c>
      <c r="F453" s="8">
        <v>393024</v>
      </c>
      <c r="G453" s="10">
        <v>0.14000000000000001</v>
      </c>
      <c r="H453" s="18" t="str">
        <f>IF(tbl_Ventas[[#This Row],[Cantidad]]&gt;=10,"Venta Alta","Venta Normal")</f>
        <v>Venta Alta</v>
      </c>
    </row>
    <row r="454" spans="1:8" ht="15.75" customHeight="1" x14ac:dyDescent="0.3">
      <c r="A454" s="1">
        <v>46031</v>
      </c>
      <c r="B454" s="2" t="s">
        <v>486</v>
      </c>
      <c r="C454" s="2" t="s">
        <v>71</v>
      </c>
      <c r="D454" s="2" t="s">
        <v>2</v>
      </c>
      <c r="E454" s="2">
        <v>2</v>
      </c>
      <c r="F454" s="8">
        <v>274849</v>
      </c>
      <c r="G454" s="10">
        <v>0.08</v>
      </c>
      <c r="H454" s="18" t="str">
        <f>IF(tbl_Ventas[[#This Row],[Cantidad]]&gt;=10,"Venta Alta","Venta Normal")</f>
        <v>Venta Normal</v>
      </c>
    </row>
    <row r="455" spans="1:8" ht="15.75" customHeight="1" x14ac:dyDescent="0.3">
      <c r="A455" s="1">
        <v>46031</v>
      </c>
      <c r="B455" s="2" t="s">
        <v>487</v>
      </c>
      <c r="C455" s="2" t="s">
        <v>1</v>
      </c>
      <c r="D455" s="2" t="s">
        <v>25</v>
      </c>
      <c r="E455" s="2">
        <v>4</v>
      </c>
      <c r="F455" s="8">
        <v>428723</v>
      </c>
      <c r="G455" s="10">
        <v>0.1</v>
      </c>
      <c r="H455" s="18" t="str">
        <f>IF(tbl_Ventas[[#This Row],[Cantidad]]&gt;=10,"Venta Alta","Venta Normal")</f>
        <v>Venta Normal</v>
      </c>
    </row>
    <row r="456" spans="1:8" ht="15.75" customHeight="1" x14ac:dyDescent="0.3">
      <c r="A456" s="1">
        <v>46031</v>
      </c>
      <c r="B456" s="2" t="s">
        <v>488</v>
      </c>
      <c r="C456" s="2" t="s">
        <v>33</v>
      </c>
      <c r="D456" s="2" t="s">
        <v>2</v>
      </c>
      <c r="E456" s="2">
        <v>3</v>
      </c>
      <c r="F456" s="8">
        <v>560192</v>
      </c>
      <c r="G456" s="11">
        <v>0</v>
      </c>
      <c r="H456" s="17" t="str">
        <f>IF(tbl_Ventas[[#This Row],[Cantidad]]&gt;=10,"Venta Alta","Venta Normal")</f>
        <v>Venta Normal</v>
      </c>
    </row>
    <row r="457" spans="1:8" ht="15.75" customHeight="1" x14ac:dyDescent="0.3">
      <c r="A457" s="1">
        <v>46031</v>
      </c>
      <c r="B457" s="2" t="s">
        <v>489</v>
      </c>
      <c r="C457" s="2" t="s">
        <v>71</v>
      </c>
      <c r="D457" s="2" t="s">
        <v>51</v>
      </c>
      <c r="E457" s="2">
        <v>5</v>
      </c>
      <c r="F457" s="8">
        <v>348487</v>
      </c>
      <c r="G457" s="10">
        <v>0.02</v>
      </c>
      <c r="H457" s="18" t="str">
        <f>IF(tbl_Ventas[[#This Row],[Cantidad]]&gt;=10,"Venta Alta","Venta Normal")</f>
        <v>Venta Normal</v>
      </c>
    </row>
    <row r="458" spans="1:8" ht="15.75" customHeight="1" x14ac:dyDescent="0.3">
      <c r="A458" s="1">
        <v>46031</v>
      </c>
      <c r="B458" s="2" t="s">
        <v>490</v>
      </c>
      <c r="C458" s="2" t="s">
        <v>71</v>
      </c>
      <c r="D458" s="2" t="s">
        <v>51</v>
      </c>
      <c r="E458" s="2">
        <v>7</v>
      </c>
      <c r="F458" s="8">
        <v>235831</v>
      </c>
      <c r="G458" s="10">
        <v>0.15</v>
      </c>
      <c r="H458" s="18" t="str">
        <f>IF(tbl_Ventas[[#This Row],[Cantidad]]&gt;=10,"Venta Alta","Venta Normal")</f>
        <v>Venta Normal</v>
      </c>
    </row>
    <row r="459" spans="1:8" ht="15.75" customHeight="1" x14ac:dyDescent="0.3">
      <c r="A459" s="1">
        <v>46031</v>
      </c>
      <c r="B459" s="2" t="s">
        <v>491</v>
      </c>
      <c r="C459" s="2" t="s">
        <v>71</v>
      </c>
      <c r="D459" s="2" t="s">
        <v>17</v>
      </c>
      <c r="E459" s="2">
        <v>4</v>
      </c>
      <c r="F459" s="8">
        <v>562468</v>
      </c>
      <c r="G459" s="10">
        <v>0.04</v>
      </c>
      <c r="H459" s="18" t="str">
        <f>IF(tbl_Ventas[[#This Row],[Cantidad]]&gt;=10,"Venta Alta","Venta Normal")</f>
        <v>Venta Normal</v>
      </c>
    </row>
    <row r="460" spans="1:8" ht="15.75" customHeight="1" x14ac:dyDescent="0.3">
      <c r="A460" s="1">
        <v>46031</v>
      </c>
      <c r="B460" s="2" t="s">
        <v>492</v>
      </c>
      <c r="C460" s="2" t="s">
        <v>5</v>
      </c>
      <c r="D460" s="2" t="s">
        <v>2</v>
      </c>
      <c r="E460" s="2">
        <v>9</v>
      </c>
      <c r="F460" s="8">
        <v>794621</v>
      </c>
      <c r="G460" s="10">
        <v>0.04</v>
      </c>
      <c r="H460" s="18" t="str">
        <f>IF(tbl_Ventas[[#This Row],[Cantidad]]&gt;=10,"Venta Alta","Venta Normal")</f>
        <v>Venta Normal</v>
      </c>
    </row>
    <row r="461" spans="1:8" ht="15.75" customHeight="1" x14ac:dyDescent="0.3">
      <c r="A461" s="1">
        <v>46031</v>
      </c>
      <c r="B461" s="2" t="s">
        <v>493</v>
      </c>
      <c r="C461" s="2" t="s">
        <v>16</v>
      </c>
      <c r="D461" s="2" t="s">
        <v>51</v>
      </c>
      <c r="E461" s="2">
        <v>10</v>
      </c>
      <c r="F461" s="8">
        <v>458578</v>
      </c>
      <c r="G461" s="10">
        <v>0.09</v>
      </c>
      <c r="H461" s="18" t="str">
        <f>IF(tbl_Ventas[[#This Row],[Cantidad]]&gt;=10,"Venta Alta","Venta Normal")</f>
        <v>Venta Alta</v>
      </c>
    </row>
    <row r="462" spans="1:8" ht="15.75" customHeight="1" x14ac:dyDescent="0.3">
      <c r="A462" s="1">
        <v>46031</v>
      </c>
      <c r="B462" s="2" t="s">
        <v>494</v>
      </c>
      <c r="C462" s="2" t="s">
        <v>12</v>
      </c>
      <c r="D462" s="2" t="s">
        <v>51</v>
      </c>
      <c r="E462" s="2">
        <v>3</v>
      </c>
      <c r="F462" s="8">
        <v>217200</v>
      </c>
      <c r="G462" s="10">
        <v>0.03</v>
      </c>
      <c r="H462" s="18" t="str">
        <f>IF(tbl_Ventas[[#This Row],[Cantidad]]&gt;=10,"Venta Alta","Venta Normal")</f>
        <v>Venta Normal</v>
      </c>
    </row>
    <row r="463" spans="1:8" ht="15.75" customHeight="1" x14ac:dyDescent="0.3">
      <c r="A463" s="1">
        <v>46031</v>
      </c>
      <c r="B463" s="2" t="s">
        <v>495</v>
      </c>
      <c r="C463" s="2" t="s">
        <v>12</v>
      </c>
      <c r="D463" s="2" t="s">
        <v>17</v>
      </c>
      <c r="E463" s="2">
        <v>3</v>
      </c>
      <c r="F463" s="8">
        <v>204645</v>
      </c>
      <c r="G463" s="11">
        <v>0</v>
      </c>
      <c r="H463" s="17" t="str">
        <f>IF(tbl_Ventas[[#This Row],[Cantidad]]&gt;=10,"Venta Alta","Venta Normal")</f>
        <v>Venta Normal</v>
      </c>
    </row>
    <row r="464" spans="1:8" ht="15.75" customHeight="1" x14ac:dyDescent="0.3">
      <c r="A464" s="1">
        <v>46031</v>
      </c>
      <c r="B464" s="2" t="s">
        <v>496</v>
      </c>
      <c r="C464" s="2" t="s">
        <v>71</v>
      </c>
      <c r="D464" s="2" t="s">
        <v>17</v>
      </c>
      <c r="E464" s="2">
        <v>6</v>
      </c>
      <c r="F464" s="8">
        <v>517453</v>
      </c>
      <c r="G464" s="10">
        <v>0.15</v>
      </c>
      <c r="H464" s="18" t="str">
        <f>IF(tbl_Ventas[[#This Row],[Cantidad]]&gt;=10,"Venta Alta","Venta Normal")</f>
        <v>Venta Normal</v>
      </c>
    </row>
    <row r="465" spans="1:8" ht="15.75" customHeight="1" x14ac:dyDescent="0.3">
      <c r="A465" s="1">
        <v>46031</v>
      </c>
      <c r="B465" s="2" t="s">
        <v>497</v>
      </c>
      <c r="C465" s="2" t="s">
        <v>22</v>
      </c>
      <c r="D465" s="2" t="s">
        <v>25</v>
      </c>
      <c r="E465" s="2">
        <v>3</v>
      </c>
      <c r="F465" s="8">
        <v>437688</v>
      </c>
      <c r="G465" s="11">
        <v>0</v>
      </c>
      <c r="H465" s="17" t="str">
        <f>IF(tbl_Ventas[[#This Row],[Cantidad]]&gt;=10,"Venta Alta","Venta Normal")</f>
        <v>Venta Normal</v>
      </c>
    </row>
    <row r="466" spans="1:8" ht="15.75" customHeight="1" x14ac:dyDescent="0.3">
      <c r="A466" s="1">
        <v>46031</v>
      </c>
      <c r="B466" s="2" t="s">
        <v>498</v>
      </c>
      <c r="C466" s="2" t="s">
        <v>12</v>
      </c>
      <c r="D466" s="2" t="s">
        <v>17</v>
      </c>
      <c r="E466" s="2">
        <v>5</v>
      </c>
      <c r="F466" s="8">
        <v>743590</v>
      </c>
      <c r="G466" s="10">
        <v>0.09</v>
      </c>
      <c r="H466" s="18" t="str">
        <f>IF(tbl_Ventas[[#This Row],[Cantidad]]&gt;=10,"Venta Alta","Venta Normal")</f>
        <v>Venta Normal</v>
      </c>
    </row>
    <row r="467" spans="1:8" ht="15.75" customHeight="1" x14ac:dyDescent="0.3">
      <c r="A467" s="1">
        <v>46031</v>
      </c>
      <c r="B467" s="2" t="s">
        <v>499</v>
      </c>
      <c r="C467" s="2" t="s">
        <v>33</v>
      </c>
      <c r="D467" s="2" t="s">
        <v>17</v>
      </c>
      <c r="E467" s="2">
        <v>6</v>
      </c>
      <c r="F467" s="8">
        <v>554380</v>
      </c>
      <c r="G467" s="10">
        <v>0.05</v>
      </c>
      <c r="H467" s="18" t="str">
        <f>IF(tbl_Ventas[[#This Row],[Cantidad]]&gt;=10,"Venta Alta","Venta Normal")</f>
        <v>Venta Normal</v>
      </c>
    </row>
    <row r="468" spans="1:8" ht="15.75" customHeight="1" x14ac:dyDescent="0.3">
      <c r="A468" s="1">
        <v>46031</v>
      </c>
      <c r="B468" s="2" t="s">
        <v>500</v>
      </c>
      <c r="C468" s="2" t="s">
        <v>33</v>
      </c>
      <c r="D468" s="2" t="s">
        <v>2</v>
      </c>
      <c r="E468" s="2">
        <v>2</v>
      </c>
      <c r="F468" s="8">
        <v>821456</v>
      </c>
      <c r="G468" s="11">
        <v>0</v>
      </c>
      <c r="H468" s="17" t="str">
        <f>IF(tbl_Ventas[[#This Row],[Cantidad]]&gt;=10,"Venta Alta","Venta Normal")</f>
        <v>Venta Normal</v>
      </c>
    </row>
    <row r="469" spans="1:8" ht="15.75" customHeight="1" x14ac:dyDescent="0.3">
      <c r="A469" s="1">
        <v>46031</v>
      </c>
      <c r="B469" s="2" t="s">
        <v>501</v>
      </c>
      <c r="C469" s="2" t="s">
        <v>7</v>
      </c>
      <c r="D469" s="2" t="s">
        <v>17</v>
      </c>
      <c r="E469" s="2">
        <v>7</v>
      </c>
      <c r="F469" s="8">
        <v>269981</v>
      </c>
      <c r="G469" s="10">
        <v>0.02</v>
      </c>
      <c r="H469" s="18" t="str">
        <f>IF(tbl_Ventas[[#This Row],[Cantidad]]&gt;=10,"Venta Alta","Venta Normal")</f>
        <v>Venta Normal</v>
      </c>
    </row>
    <row r="470" spans="1:8" ht="15.75" customHeight="1" x14ac:dyDescent="0.3">
      <c r="A470" s="1">
        <v>46031</v>
      </c>
      <c r="B470" s="2" t="s">
        <v>502</v>
      </c>
      <c r="C470" s="2" t="s">
        <v>71</v>
      </c>
      <c r="D470" s="2" t="s">
        <v>51</v>
      </c>
      <c r="E470" s="2">
        <v>4</v>
      </c>
      <c r="F470" s="8">
        <v>323489</v>
      </c>
      <c r="G470" s="10">
        <v>0.12</v>
      </c>
      <c r="H470" s="18" t="str">
        <f>IF(tbl_Ventas[[#This Row],[Cantidad]]&gt;=10,"Venta Alta","Venta Normal")</f>
        <v>Venta Normal</v>
      </c>
    </row>
    <row r="471" spans="1:8" ht="15.75" customHeight="1" x14ac:dyDescent="0.3">
      <c r="A471" s="1">
        <v>46031</v>
      </c>
      <c r="B471" s="2" t="s">
        <v>503</v>
      </c>
      <c r="C471" s="2" t="s">
        <v>5</v>
      </c>
      <c r="D471" s="2" t="s">
        <v>17</v>
      </c>
      <c r="E471" s="2">
        <v>6</v>
      </c>
      <c r="F471" s="8">
        <v>313622</v>
      </c>
      <c r="G471" s="10">
        <v>0.14000000000000001</v>
      </c>
      <c r="H471" s="18" t="str">
        <f>IF(tbl_Ventas[[#This Row],[Cantidad]]&gt;=10,"Venta Alta","Venta Normal")</f>
        <v>Venta Normal</v>
      </c>
    </row>
    <row r="472" spans="1:8" ht="15.75" customHeight="1" x14ac:dyDescent="0.3">
      <c r="A472" s="1">
        <v>46031</v>
      </c>
      <c r="B472" s="2" t="s">
        <v>504</v>
      </c>
      <c r="C472" s="2" t="s">
        <v>1</v>
      </c>
      <c r="D472" s="2" t="s">
        <v>13</v>
      </c>
      <c r="E472" s="2">
        <v>6</v>
      </c>
      <c r="F472" s="8">
        <v>413298</v>
      </c>
      <c r="G472" s="10">
        <v>0.03</v>
      </c>
      <c r="H472" s="18" t="str">
        <f>IF(tbl_Ventas[[#This Row],[Cantidad]]&gt;=10,"Venta Alta","Venta Normal")</f>
        <v>Venta Normal</v>
      </c>
    </row>
    <row r="473" spans="1:8" ht="15.75" customHeight="1" x14ac:dyDescent="0.3">
      <c r="A473" s="1">
        <v>46031</v>
      </c>
      <c r="B473" s="2" t="s">
        <v>505</v>
      </c>
      <c r="C473" s="2" t="s">
        <v>12</v>
      </c>
      <c r="D473" s="2" t="s">
        <v>25</v>
      </c>
      <c r="E473" s="2">
        <v>12</v>
      </c>
      <c r="F473" s="8">
        <v>590921</v>
      </c>
      <c r="G473" s="10">
        <v>0.04</v>
      </c>
      <c r="H473" s="18" t="str">
        <f>IF(tbl_Ventas[[#This Row],[Cantidad]]&gt;=10,"Venta Alta","Venta Normal")</f>
        <v>Venta Alta</v>
      </c>
    </row>
    <row r="474" spans="1:8" ht="15.75" customHeight="1" x14ac:dyDescent="0.3">
      <c r="A474" s="1">
        <v>46031</v>
      </c>
      <c r="B474" s="2" t="s">
        <v>506</v>
      </c>
      <c r="C474" s="2" t="s">
        <v>1</v>
      </c>
      <c r="D474" s="2" t="s">
        <v>25</v>
      </c>
      <c r="E474" s="2">
        <v>10</v>
      </c>
      <c r="F474" s="8">
        <v>324830</v>
      </c>
      <c r="G474" s="10">
        <v>0.08</v>
      </c>
      <c r="H474" s="18" t="str">
        <f>IF(tbl_Ventas[[#This Row],[Cantidad]]&gt;=10,"Venta Alta","Venta Normal")</f>
        <v>Venta Alta</v>
      </c>
    </row>
    <row r="475" spans="1:8" ht="15.75" customHeight="1" x14ac:dyDescent="0.3">
      <c r="A475" s="1">
        <v>46031</v>
      </c>
      <c r="B475" s="2" t="s">
        <v>507</v>
      </c>
      <c r="C475" s="2" t="s">
        <v>71</v>
      </c>
      <c r="D475" s="2" t="s">
        <v>17</v>
      </c>
      <c r="E475" s="2">
        <v>7</v>
      </c>
      <c r="F475" s="8">
        <v>547571</v>
      </c>
      <c r="G475" s="10">
        <v>0.05</v>
      </c>
      <c r="H475" s="18" t="str">
        <f>IF(tbl_Ventas[[#This Row],[Cantidad]]&gt;=10,"Venta Alta","Venta Normal")</f>
        <v>Venta Normal</v>
      </c>
    </row>
    <row r="476" spans="1:8" ht="15.75" customHeight="1" x14ac:dyDescent="0.3">
      <c r="A476" s="1">
        <v>46031</v>
      </c>
      <c r="B476" s="2" t="s">
        <v>508</v>
      </c>
      <c r="C476" s="2" t="s">
        <v>71</v>
      </c>
      <c r="D476" s="2" t="s">
        <v>13</v>
      </c>
      <c r="E476" s="2">
        <v>1</v>
      </c>
      <c r="F476" s="8">
        <v>153480</v>
      </c>
      <c r="G476" s="10">
        <v>7.0000000000000007E-2</v>
      </c>
      <c r="H476" s="18" t="str">
        <f>IF(tbl_Ventas[[#This Row],[Cantidad]]&gt;=10,"Venta Alta","Venta Normal")</f>
        <v>Venta Normal</v>
      </c>
    </row>
    <row r="477" spans="1:8" ht="15.75" customHeight="1" x14ac:dyDescent="0.3">
      <c r="A477" s="1">
        <v>46031</v>
      </c>
      <c r="B477" s="2" t="s">
        <v>509</v>
      </c>
      <c r="C477" s="2" t="s">
        <v>12</v>
      </c>
      <c r="D477" s="2" t="s">
        <v>17</v>
      </c>
      <c r="E477" s="2">
        <v>3</v>
      </c>
      <c r="F477" s="8">
        <v>489620</v>
      </c>
      <c r="G477" s="11">
        <v>0</v>
      </c>
      <c r="H477" s="17" t="str">
        <f>IF(tbl_Ventas[[#This Row],[Cantidad]]&gt;=10,"Venta Alta","Venta Normal")</f>
        <v>Venta Normal</v>
      </c>
    </row>
    <row r="478" spans="1:8" ht="15.75" customHeight="1" x14ac:dyDescent="0.3">
      <c r="A478" s="1">
        <v>46031</v>
      </c>
      <c r="B478" s="2" t="s">
        <v>510</v>
      </c>
      <c r="C478" s="2" t="s">
        <v>12</v>
      </c>
      <c r="D478" s="2" t="s">
        <v>17</v>
      </c>
      <c r="E478" s="2">
        <v>11</v>
      </c>
      <c r="F478" s="8">
        <v>76673</v>
      </c>
      <c r="G478" s="10">
        <v>0.11</v>
      </c>
      <c r="H478" s="18" t="str">
        <f>IF(tbl_Ventas[[#This Row],[Cantidad]]&gt;=10,"Venta Alta","Venta Normal")</f>
        <v>Venta Alta</v>
      </c>
    </row>
    <row r="479" spans="1:8" ht="15.75" customHeight="1" x14ac:dyDescent="0.3">
      <c r="A479" s="1">
        <v>46031</v>
      </c>
      <c r="B479" s="2" t="s">
        <v>511</v>
      </c>
      <c r="C479" s="2" t="s">
        <v>16</v>
      </c>
      <c r="D479" s="2" t="s">
        <v>13</v>
      </c>
      <c r="E479" s="2">
        <v>8</v>
      </c>
      <c r="F479" s="8">
        <v>212906</v>
      </c>
      <c r="G479" s="11">
        <v>0</v>
      </c>
      <c r="H479" s="17" t="str">
        <f>IF(tbl_Ventas[[#This Row],[Cantidad]]&gt;=10,"Venta Alta","Venta Normal")</f>
        <v>Venta Normal</v>
      </c>
    </row>
    <row r="480" spans="1:8" ht="15.75" customHeight="1" x14ac:dyDescent="0.3">
      <c r="A480" s="1">
        <v>46031</v>
      </c>
      <c r="B480" s="2" t="s">
        <v>512</v>
      </c>
      <c r="C480" s="2" t="s">
        <v>33</v>
      </c>
      <c r="D480" s="2" t="s">
        <v>51</v>
      </c>
      <c r="E480" s="2">
        <v>5</v>
      </c>
      <c r="F480" s="8">
        <v>158439</v>
      </c>
      <c r="G480" s="11">
        <v>0</v>
      </c>
      <c r="H480" s="17" t="str">
        <f>IF(tbl_Ventas[[#This Row],[Cantidad]]&gt;=10,"Venta Alta","Venta Normal")</f>
        <v>Venta Normal</v>
      </c>
    </row>
    <row r="481" spans="1:8" ht="15.75" customHeight="1" x14ac:dyDescent="0.3">
      <c r="A481" s="1">
        <v>46031</v>
      </c>
      <c r="B481" s="2" t="s">
        <v>513</v>
      </c>
      <c r="C481" s="2" t="s">
        <v>33</v>
      </c>
      <c r="D481" s="2" t="s">
        <v>13</v>
      </c>
      <c r="E481" s="2">
        <v>2</v>
      </c>
      <c r="F481" s="8">
        <v>115122</v>
      </c>
      <c r="G481" s="10">
        <v>0.11</v>
      </c>
      <c r="H481" s="18" t="str">
        <f>IF(tbl_Ventas[[#This Row],[Cantidad]]&gt;=10,"Venta Alta","Venta Normal")</f>
        <v>Venta Normal</v>
      </c>
    </row>
    <row r="482" spans="1:8" ht="15.75" customHeight="1" x14ac:dyDescent="0.3">
      <c r="A482" s="1">
        <v>46031</v>
      </c>
      <c r="B482" s="2" t="s">
        <v>514</v>
      </c>
      <c r="C482" s="2" t="s">
        <v>1</v>
      </c>
      <c r="D482" s="2" t="s">
        <v>2</v>
      </c>
      <c r="E482" s="2">
        <v>1</v>
      </c>
      <c r="F482" s="8">
        <v>162255</v>
      </c>
      <c r="G482" s="10">
        <v>0.04</v>
      </c>
      <c r="H482" s="18" t="str">
        <f>IF(tbl_Ventas[[#This Row],[Cantidad]]&gt;=10,"Venta Alta","Venta Normal")</f>
        <v>Venta Normal</v>
      </c>
    </row>
    <row r="483" spans="1:8" ht="15.75" customHeight="1" x14ac:dyDescent="0.3">
      <c r="A483" s="1">
        <v>46031</v>
      </c>
      <c r="B483" s="2" t="s">
        <v>515</v>
      </c>
      <c r="C483" s="2" t="s">
        <v>22</v>
      </c>
      <c r="D483" s="2" t="s">
        <v>2</v>
      </c>
      <c r="E483" s="2">
        <v>6</v>
      </c>
      <c r="F483" s="8">
        <v>599576</v>
      </c>
      <c r="G483" s="11">
        <v>0</v>
      </c>
      <c r="H483" s="17" t="str">
        <f>IF(tbl_Ventas[[#This Row],[Cantidad]]&gt;=10,"Venta Alta","Venta Normal")</f>
        <v>Venta Normal</v>
      </c>
    </row>
    <row r="484" spans="1:8" ht="15.75" customHeight="1" x14ac:dyDescent="0.3">
      <c r="A484" s="1">
        <v>46031</v>
      </c>
      <c r="B484" s="2" t="s">
        <v>516</v>
      </c>
      <c r="C484" s="2" t="s">
        <v>7</v>
      </c>
      <c r="D484" s="2" t="s">
        <v>13</v>
      </c>
      <c r="E484" s="2">
        <v>4</v>
      </c>
      <c r="F484" s="8">
        <v>712874</v>
      </c>
      <c r="G484" s="11">
        <v>0</v>
      </c>
      <c r="H484" s="17" t="str">
        <f>IF(tbl_Ventas[[#This Row],[Cantidad]]&gt;=10,"Venta Alta","Venta Normal")</f>
        <v>Venta Normal</v>
      </c>
    </row>
    <row r="485" spans="1:8" ht="15.75" customHeight="1" x14ac:dyDescent="0.3">
      <c r="A485" s="1">
        <v>46031</v>
      </c>
      <c r="B485" s="2" t="s">
        <v>517</v>
      </c>
      <c r="C485" s="2" t="s">
        <v>7</v>
      </c>
      <c r="D485" s="2" t="s">
        <v>17</v>
      </c>
      <c r="E485" s="2">
        <v>8</v>
      </c>
      <c r="F485" s="8">
        <v>275711</v>
      </c>
      <c r="G485" s="10">
        <v>0.09</v>
      </c>
      <c r="H485" s="18" t="str">
        <f>IF(tbl_Ventas[[#This Row],[Cantidad]]&gt;=10,"Venta Alta","Venta Normal")</f>
        <v>Venta Normal</v>
      </c>
    </row>
    <row r="486" spans="1:8" ht="15.75" customHeight="1" x14ac:dyDescent="0.3">
      <c r="A486" s="1">
        <v>46031</v>
      </c>
      <c r="B486" s="2" t="s">
        <v>518</v>
      </c>
      <c r="C486" s="2" t="s">
        <v>71</v>
      </c>
      <c r="D486" s="2" t="s">
        <v>2</v>
      </c>
      <c r="E486" s="2">
        <v>9</v>
      </c>
      <c r="F486" s="8">
        <v>530229</v>
      </c>
      <c r="G486" s="10">
        <v>7.0000000000000007E-2</v>
      </c>
      <c r="H486" s="18" t="str">
        <f>IF(tbl_Ventas[[#This Row],[Cantidad]]&gt;=10,"Venta Alta","Venta Normal")</f>
        <v>Venta Normal</v>
      </c>
    </row>
    <row r="487" spans="1:8" ht="15.75" customHeight="1" x14ac:dyDescent="0.3">
      <c r="A487" s="1">
        <v>46031</v>
      </c>
      <c r="B487" s="2" t="s">
        <v>519</v>
      </c>
      <c r="C487" s="2" t="s">
        <v>33</v>
      </c>
      <c r="D487" s="2" t="s">
        <v>17</v>
      </c>
      <c r="E487" s="2">
        <v>3</v>
      </c>
      <c r="F487" s="8">
        <v>186837</v>
      </c>
      <c r="G487" s="11">
        <v>0</v>
      </c>
      <c r="H487" s="17" t="str">
        <f>IF(tbl_Ventas[[#This Row],[Cantidad]]&gt;=10,"Venta Alta","Venta Normal")</f>
        <v>Venta Normal</v>
      </c>
    </row>
    <row r="488" spans="1:8" ht="15.75" customHeight="1" x14ac:dyDescent="0.3">
      <c r="A488" s="1">
        <v>46031</v>
      </c>
      <c r="B488" s="2" t="s">
        <v>520</v>
      </c>
      <c r="C488" s="2" t="s">
        <v>16</v>
      </c>
      <c r="D488" s="2" t="s">
        <v>2</v>
      </c>
      <c r="E488" s="2">
        <v>1</v>
      </c>
      <c r="F488" s="8">
        <v>222921</v>
      </c>
      <c r="G488" s="11">
        <v>0</v>
      </c>
      <c r="H488" s="17" t="str">
        <f>IF(tbl_Ventas[[#This Row],[Cantidad]]&gt;=10,"Venta Alta","Venta Normal")</f>
        <v>Venta Normal</v>
      </c>
    </row>
    <row r="489" spans="1:8" ht="15.75" customHeight="1" x14ac:dyDescent="0.3">
      <c r="A489" s="1">
        <v>46031</v>
      </c>
      <c r="B489" s="2" t="s">
        <v>521</v>
      </c>
      <c r="C489" s="2" t="s">
        <v>16</v>
      </c>
      <c r="D489" s="2" t="s">
        <v>17</v>
      </c>
      <c r="E489" s="2">
        <v>3</v>
      </c>
      <c r="F489" s="8">
        <v>234340</v>
      </c>
      <c r="G489" s="10">
        <v>0.03</v>
      </c>
      <c r="H489" s="18" t="str">
        <f>IF(tbl_Ventas[[#This Row],[Cantidad]]&gt;=10,"Venta Alta","Venta Normal")</f>
        <v>Venta Normal</v>
      </c>
    </row>
    <row r="490" spans="1:8" ht="15.75" customHeight="1" x14ac:dyDescent="0.3">
      <c r="A490" s="1">
        <v>46031</v>
      </c>
      <c r="B490" s="2" t="s">
        <v>522</v>
      </c>
      <c r="C490" s="2" t="s">
        <v>33</v>
      </c>
      <c r="D490" s="2" t="s">
        <v>13</v>
      </c>
      <c r="E490" s="2">
        <v>2</v>
      </c>
      <c r="F490" s="8">
        <v>235706</v>
      </c>
      <c r="G490" s="10">
        <v>0.13</v>
      </c>
      <c r="H490" s="18" t="str">
        <f>IF(tbl_Ventas[[#This Row],[Cantidad]]&gt;=10,"Venta Alta","Venta Normal")</f>
        <v>Venta Normal</v>
      </c>
    </row>
    <row r="491" spans="1:8" ht="15.75" customHeight="1" x14ac:dyDescent="0.3">
      <c r="A491" s="1">
        <v>46031</v>
      </c>
      <c r="B491" s="2" t="s">
        <v>523</v>
      </c>
      <c r="C491" s="2" t="s">
        <v>12</v>
      </c>
      <c r="D491" s="2" t="s">
        <v>2</v>
      </c>
      <c r="E491" s="2">
        <v>10</v>
      </c>
      <c r="F491" s="8">
        <v>419722</v>
      </c>
      <c r="G491" s="10">
        <v>7.0000000000000007E-2</v>
      </c>
      <c r="H491" s="18" t="str">
        <f>IF(tbl_Ventas[[#This Row],[Cantidad]]&gt;=10,"Venta Alta","Venta Normal")</f>
        <v>Venta Alta</v>
      </c>
    </row>
    <row r="492" spans="1:8" ht="15.75" customHeight="1" x14ac:dyDescent="0.3">
      <c r="A492" s="1">
        <v>46031</v>
      </c>
      <c r="B492" s="2" t="s">
        <v>524</v>
      </c>
      <c r="C492" s="2" t="s">
        <v>22</v>
      </c>
      <c r="D492" s="2" t="s">
        <v>13</v>
      </c>
      <c r="E492" s="2">
        <v>7</v>
      </c>
      <c r="F492" s="8">
        <v>589742</v>
      </c>
      <c r="G492" s="10">
        <v>7.0000000000000007E-2</v>
      </c>
      <c r="H492" s="18" t="str">
        <f>IF(tbl_Ventas[[#This Row],[Cantidad]]&gt;=10,"Venta Alta","Venta Normal")</f>
        <v>Venta Normal</v>
      </c>
    </row>
    <row r="493" spans="1:8" ht="15.75" customHeight="1" x14ac:dyDescent="0.3">
      <c r="A493" s="1">
        <v>46031</v>
      </c>
      <c r="B493" s="2" t="s">
        <v>525</v>
      </c>
      <c r="C493" s="2" t="s">
        <v>33</v>
      </c>
      <c r="D493" s="2" t="s">
        <v>2</v>
      </c>
      <c r="E493" s="2">
        <v>4</v>
      </c>
      <c r="F493" s="8">
        <v>603531</v>
      </c>
      <c r="G493" s="10">
        <v>0.1</v>
      </c>
      <c r="H493" s="18" t="str">
        <f>IF(tbl_Ventas[[#This Row],[Cantidad]]&gt;=10,"Venta Alta","Venta Normal")</f>
        <v>Venta Normal</v>
      </c>
    </row>
    <row r="494" spans="1:8" ht="15.75" customHeight="1" x14ac:dyDescent="0.3">
      <c r="A494" s="1">
        <v>46031</v>
      </c>
      <c r="B494" s="2" t="s">
        <v>526</v>
      </c>
      <c r="C494" s="2" t="s">
        <v>71</v>
      </c>
      <c r="D494" s="2" t="s">
        <v>13</v>
      </c>
      <c r="E494" s="2">
        <v>2</v>
      </c>
      <c r="F494" s="8">
        <v>394103</v>
      </c>
      <c r="G494" s="11">
        <v>0</v>
      </c>
      <c r="H494" s="17" t="str">
        <f>IF(tbl_Ventas[[#This Row],[Cantidad]]&gt;=10,"Venta Alta","Venta Normal")</f>
        <v>Venta Normal</v>
      </c>
    </row>
    <row r="495" spans="1:8" ht="15.75" customHeight="1" x14ac:dyDescent="0.3">
      <c r="A495" s="1">
        <v>46031</v>
      </c>
      <c r="B495" s="2" t="s">
        <v>481</v>
      </c>
      <c r="C495" s="2" t="s">
        <v>5</v>
      </c>
      <c r="D495" s="2" t="s">
        <v>17</v>
      </c>
      <c r="E495" s="2">
        <v>4</v>
      </c>
      <c r="F495" s="8">
        <v>448328</v>
      </c>
      <c r="G495" s="10">
        <v>0.04</v>
      </c>
      <c r="H495" s="18" t="str">
        <f>IF(tbl_Ventas[[#This Row],[Cantidad]]&gt;=10,"Venta Alta","Venta Normal")</f>
        <v>Venta Normal</v>
      </c>
    </row>
    <row r="496" spans="1:8" ht="15.75" customHeight="1" x14ac:dyDescent="0.3">
      <c r="A496" s="1">
        <v>46031</v>
      </c>
      <c r="B496" s="2" t="s">
        <v>477</v>
      </c>
      <c r="C496" s="2" t="s">
        <v>16</v>
      </c>
      <c r="D496" s="41" t="s">
        <v>557</v>
      </c>
      <c r="E496" s="2">
        <v>2</v>
      </c>
      <c r="F496" s="8">
        <v>551805</v>
      </c>
      <c r="G496" s="10">
        <v>0.14000000000000001</v>
      </c>
      <c r="H496" s="18" t="str">
        <f>IF(tbl_Ventas[[#This Row],[Cantidad]]&gt;=10,"Venta Alta","Venta Normal")</f>
        <v>Venta Normal</v>
      </c>
    </row>
    <row r="497" spans="1:8" ht="15.75" customHeight="1" x14ac:dyDescent="0.3">
      <c r="A497" s="1">
        <v>46031</v>
      </c>
      <c r="B497" s="2" t="s">
        <v>522</v>
      </c>
      <c r="C497" s="2" t="s">
        <v>33</v>
      </c>
      <c r="D497" s="41" t="s">
        <v>557</v>
      </c>
      <c r="E497" s="2">
        <v>2</v>
      </c>
      <c r="F497" s="8">
        <v>235706</v>
      </c>
      <c r="G497" s="10">
        <v>0.13</v>
      </c>
      <c r="H497" s="18" t="str">
        <f>IF(tbl_Ventas[[#This Row],[Cantidad]]&gt;=10,"Venta Alta","Venta Normal")</f>
        <v>Venta Normal</v>
      </c>
    </row>
    <row r="498" spans="1:8" ht="15.75" customHeight="1" x14ac:dyDescent="0.3">
      <c r="A498" s="1">
        <v>46032</v>
      </c>
      <c r="B498" s="2" t="s">
        <v>527</v>
      </c>
      <c r="C498" s="2" t="s">
        <v>22</v>
      </c>
      <c r="D498" s="2" t="s">
        <v>2</v>
      </c>
      <c r="E498" s="2">
        <v>12</v>
      </c>
      <c r="F498" s="8">
        <v>149442</v>
      </c>
      <c r="G498" s="11">
        <v>0</v>
      </c>
      <c r="H498" s="17" t="str">
        <f>IF(tbl_Ventas[[#This Row],[Cantidad]]&gt;=10,"Venta Alta","Venta Normal")</f>
        <v>Venta Alta</v>
      </c>
    </row>
    <row r="499" spans="1:8" ht="15.75" customHeight="1" x14ac:dyDescent="0.3">
      <c r="A499" s="1">
        <v>46032</v>
      </c>
      <c r="B499" s="2" t="s">
        <v>528</v>
      </c>
      <c r="C499" s="2" t="s">
        <v>16</v>
      </c>
      <c r="D499" s="2" t="s">
        <v>17</v>
      </c>
      <c r="E499" s="2">
        <v>12</v>
      </c>
      <c r="F499" s="8">
        <v>534994</v>
      </c>
      <c r="G499" s="10">
        <v>0.1</v>
      </c>
      <c r="H499" s="18" t="str">
        <f>IF(tbl_Ventas[[#This Row],[Cantidad]]&gt;=10,"Venta Alta","Venta Normal")</f>
        <v>Venta Alta</v>
      </c>
    </row>
    <row r="500" spans="1:8" ht="15.75" customHeight="1" x14ac:dyDescent="0.3">
      <c r="A500" s="1">
        <v>46032</v>
      </c>
      <c r="B500" s="2" t="s">
        <v>529</v>
      </c>
      <c r="C500" s="2" t="s">
        <v>5</v>
      </c>
      <c r="D500" s="2" t="s">
        <v>51</v>
      </c>
      <c r="E500" s="2">
        <v>7</v>
      </c>
      <c r="F500" s="8">
        <v>221636</v>
      </c>
      <c r="G500" s="10">
        <v>0.12</v>
      </c>
      <c r="H500" s="18" t="str">
        <f>IF(tbl_Ventas[[#This Row],[Cantidad]]&gt;=10,"Venta Alta","Venta Normal")</f>
        <v>Venta Normal</v>
      </c>
    </row>
    <row r="501" spans="1:8" ht="15.75" customHeight="1" x14ac:dyDescent="0.3">
      <c r="A501" s="1"/>
      <c r="B501" s="2"/>
      <c r="C501" s="2"/>
      <c r="D501" s="2"/>
      <c r="E501" s="2"/>
      <c r="F501" s="2"/>
      <c r="G501" s="10"/>
    </row>
    <row r="502" spans="1:8" ht="15.75" customHeight="1" x14ac:dyDescent="0.3">
      <c r="A502" s="1"/>
      <c r="B502" s="2"/>
      <c r="C502" s="2"/>
      <c r="D502" s="2"/>
      <c r="E502" s="2"/>
      <c r="F502" s="2"/>
      <c r="G502" s="10"/>
    </row>
    <row r="503" spans="1:8" ht="15.75" customHeight="1" x14ac:dyDescent="0.3">
      <c r="A503" s="1"/>
      <c r="B503" s="2"/>
      <c r="C503" s="2"/>
      <c r="D503" s="2"/>
      <c r="E503" s="2"/>
      <c r="F503" s="2"/>
    </row>
    <row r="771" ht="16.2" customHeight="1" x14ac:dyDescent="0.3"/>
  </sheetData>
  <pageMargins left="0.75" right="0.75" top="1" bottom="1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14.44140625" defaultRowHeight="15" customHeight="1" x14ac:dyDescent="0.3"/>
  <cols>
    <col min="1" max="1" width="16.33203125" customWidth="1"/>
    <col min="2" max="2" width="26.6640625" customWidth="1"/>
    <col min="3" max="3" width="26" customWidth="1"/>
    <col min="4" max="25" width="8.6640625" customWidth="1"/>
  </cols>
  <sheetData>
    <row r="1" spans="1:3" ht="22.5" customHeight="1" x14ac:dyDescent="0.3">
      <c r="A1" s="4" t="s">
        <v>18</v>
      </c>
      <c r="B1" s="4" t="s">
        <v>38</v>
      </c>
      <c r="C1" s="4" t="s">
        <v>8</v>
      </c>
    </row>
    <row r="2" spans="1:3" ht="22.5" customHeight="1" x14ac:dyDescent="0.3">
      <c r="A2" s="3" t="s">
        <v>7</v>
      </c>
      <c r="B2" s="3" t="s">
        <v>45</v>
      </c>
      <c r="C2" s="21" t="s">
        <v>10</v>
      </c>
    </row>
    <row r="3" spans="1:3" ht="22.5" customHeight="1" x14ac:dyDescent="0.3">
      <c r="A3" s="3" t="s">
        <v>5</v>
      </c>
      <c r="B3" s="3" t="s">
        <v>52</v>
      </c>
      <c r="C3" s="21" t="s">
        <v>10</v>
      </c>
    </row>
    <row r="4" spans="1:3" ht="22.5" customHeight="1" x14ac:dyDescent="0.3">
      <c r="A4" s="3" t="s">
        <v>16</v>
      </c>
      <c r="B4" s="3" t="s">
        <v>58</v>
      </c>
      <c r="C4" s="21" t="s">
        <v>14</v>
      </c>
    </row>
    <row r="5" spans="1:3" ht="22.5" customHeight="1" x14ac:dyDescent="0.3">
      <c r="A5" s="3" t="s">
        <v>33</v>
      </c>
      <c r="B5" s="3" t="s">
        <v>63</v>
      </c>
      <c r="C5" s="21" t="s">
        <v>14</v>
      </c>
    </row>
    <row r="6" spans="1:3" ht="22.5" customHeight="1" x14ac:dyDescent="0.3">
      <c r="A6" s="3" t="s">
        <v>22</v>
      </c>
      <c r="B6" s="3" t="s">
        <v>68</v>
      </c>
      <c r="C6" s="21" t="s">
        <v>21</v>
      </c>
    </row>
    <row r="7" spans="1:3" ht="22.5" customHeight="1" x14ac:dyDescent="0.3">
      <c r="A7" s="3" t="s">
        <v>71</v>
      </c>
      <c r="B7" s="3" t="s">
        <v>72</v>
      </c>
      <c r="C7" s="21" t="s">
        <v>21</v>
      </c>
    </row>
    <row r="8" spans="1:3" ht="22.5" customHeight="1" x14ac:dyDescent="0.3">
      <c r="A8" s="3" t="s">
        <v>12</v>
      </c>
      <c r="B8" s="3" t="s">
        <v>78</v>
      </c>
      <c r="C8" s="21" t="s">
        <v>24</v>
      </c>
    </row>
    <row r="9" spans="1:3" ht="22.5" customHeight="1" x14ac:dyDescent="0.3">
      <c r="A9" s="3" t="s">
        <v>1</v>
      </c>
      <c r="B9" s="3" t="s">
        <v>81</v>
      </c>
      <c r="C9" s="21" t="s">
        <v>24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pane ySplit="1" topLeftCell="A2" activePane="bottomLeft" state="frozen"/>
      <selection pane="bottomLeft" activeCell="B25" sqref="B25"/>
    </sheetView>
  </sheetViews>
  <sheetFormatPr baseColWidth="10" defaultColWidth="14.44140625" defaultRowHeight="15" customHeight="1" x14ac:dyDescent="0.3"/>
  <cols>
    <col min="1" max="1" width="21.6640625" customWidth="1"/>
    <col min="2" max="2" width="26.33203125" customWidth="1"/>
    <col min="3" max="3" width="23.6640625" customWidth="1"/>
    <col min="4" max="25" width="8.6640625" customWidth="1"/>
  </cols>
  <sheetData>
    <row r="1" spans="1:3" ht="22.5" customHeight="1" x14ac:dyDescent="0.3">
      <c r="A1" s="4" t="s">
        <v>19</v>
      </c>
      <c r="B1" s="4" t="s">
        <v>37</v>
      </c>
      <c r="C1" s="4" t="s">
        <v>40</v>
      </c>
    </row>
    <row r="2" spans="1:3" ht="22.5" customHeight="1" x14ac:dyDescent="0.3">
      <c r="A2" s="3" t="s">
        <v>25</v>
      </c>
      <c r="B2" s="3" t="s">
        <v>46</v>
      </c>
      <c r="C2" s="3" t="s">
        <v>48</v>
      </c>
    </row>
    <row r="3" spans="1:3" ht="22.5" customHeight="1" x14ac:dyDescent="0.3">
      <c r="A3" s="3" t="s">
        <v>51</v>
      </c>
      <c r="B3" s="3" t="s">
        <v>53</v>
      </c>
      <c r="C3" s="3" t="s">
        <v>55</v>
      </c>
    </row>
    <row r="4" spans="1:3" ht="22.5" customHeight="1" x14ac:dyDescent="0.3">
      <c r="A4" s="3" t="s">
        <v>13</v>
      </c>
      <c r="B4" s="3" t="s">
        <v>60</v>
      </c>
      <c r="C4" s="3" t="s">
        <v>61</v>
      </c>
    </row>
    <row r="5" spans="1:3" ht="22.5" customHeight="1" x14ac:dyDescent="0.3">
      <c r="A5" s="3" t="s">
        <v>2</v>
      </c>
      <c r="B5" s="3" t="s">
        <v>66</v>
      </c>
      <c r="C5" s="3" t="s">
        <v>55</v>
      </c>
    </row>
    <row r="6" spans="1:3" ht="22.5" customHeight="1" x14ac:dyDescent="0.3">
      <c r="A6" s="3" t="s">
        <v>17</v>
      </c>
      <c r="B6" s="3" t="s">
        <v>74</v>
      </c>
      <c r="C6" s="3" t="s">
        <v>61</v>
      </c>
    </row>
    <row r="7" spans="1:3" ht="15" customHeight="1" x14ac:dyDescent="0.3">
      <c r="A7" s="49" t="s">
        <v>557</v>
      </c>
      <c r="B7" s="49" t="s">
        <v>558</v>
      </c>
      <c r="C7" s="49" t="s">
        <v>558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E2" sqref="E2"/>
    </sheetView>
  </sheetViews>
  <sheetFormatPr baseColWidth="10" defaultColWidth="14.44140625" defaultRowHeight="15" customHeight="1" x14ac:dyDescent="0.3"/>
  <cols>
    <col min="1" max="1" width="21.109375" customWidth="1"/>
    <col min="2" max="2" width="11.44140625" customWidth="1"/>
    <col min="3" max="3" width="25.109375" customWidth="1"/>
    <col min="4" max="4" width="22.5546875" style="51" customWidth="1"/>
    <col min="5" max="26" width="8.6640625" customWidth="1"/>
  </cols>
  <sheetData>
    <row r="1" spans="1:4" ht="14.4" x14ac:dyDescent="0.3">
      <c r="A1" s="2" t="s">
        <v>4</v>
      </c>
      <c r="B1" s="5" t="s">
        <v>537</v>
      </c>
      <c r="C1" s="2" t="s">
        <v>8</v>
      </c>
      <c r="D1" s="50" t="s">
        <v>9</v>
      </c>
    </row>
    <row r="2" spans="1:4" ht="14.4" x14ac:dyDescent="0.3">
      <c r="A2" s="2">
        <v>1</v>
      </c>
      <c r="B2" s="2">
        <v>2026</v>
      </c>
      <c r="C2" s="2" t="s">
        <v>10</v>
      </c>
      <c r="D2" s="50">
        <v>66799102</v>
      </c>
    </row>
    <row r="3" spans="1:4" ht="14.4" x14ac:dyDescent="0.3">
      <c r="A3" s="2">
        <v>1</v>
      </c>
      <c r="B3" s="2">
        <v>2026</v>
      </c>
      <c r="C3" s="2" t="s">
        <v>14</v>
      </c>
      <c r="D3" s="50">
        <v>27845208</v>
      </c>
    </row>
    <row r="4" spans="1:4" ht="14.4" x14ac:dyDescent="0.3">
      <c r="A4" s="2">
        <v>1</v>
      </c>
      <c r="B4" s="2">
        <v>2026</v>
      </c>
      <c r="C4" s="2" t="s">
        <v>21</v>
      </c>
      <c r="D4" s="50">
        <v>71299536</v>
      </c>
    </row>
    <row r="5" spans="1:4" ht="14.4" x14ac:dyDescent="0.3">
      <c r="A5" s="2">
        <v>1</v>
      </c>
      <c r="B5" s="2">
        <v>2026</v>
      </c>
      <c r="C5" s="2" t="s">
        <v>24</v>
      </c>
      <c r="D5" s="50">
        <v>79678994</v>
      </c>
    </row>
    <row r="6" spans="1:4" ht="14.4" x14ac:dyDescent="0.3">
      <c r="A6" s="2">
        <v>2</v>
      </c>
      <c r="B6" s="2">
        <v>2026</v>
      </c>
      <c r="C6" s="2" t="s">
        <v>10</v>
      </c>
      <c r="D6" s="50">
        <v>16265653</v>
      </c>
    </row>
    <row r="7" spans="1:4" ht="14.4" x14ac:dyDescent="0.3">
      <c r="A7" s="2">
        <v>2</v>
      </c>
      <c r="B7" s="2">
        <v>2026</v>
      </c>
      <c r="C7" s="2" t="s">
        <v>14</v>
      </c>
      <c r="D7" s="50">
        <v>58878596</v>
      </c>
    </row>
    <row r="8" spans="1:4" ht="14.4" x14ac:dyDescent="0.3">
      <c r="A8" s="2">
        <v>2</v>
      </c>
      <c r="B8" s="2">
        <v>2026</v>
      </c>
      <c r="C8" s="2" t="s">
        <v>21</v>
      </c>
      <c r="D8" s="50">
        <v>38211684</v>
      </c>
    </row>
    <row r="9" spans="1:4" ht="14.4" x14ac:dyDescent="0.3">
      <c r="A9" s="2">
        <v>2</v>
      </c>
      <c r="B9" s="2">
        <v>2026</v>
      </c>
      <c r="C9" s="2" t="s">
        <v>24</v>
      </c>
      <c r="D9" s="50">
        <v>39845368</v>
      </c>
    </row>
    <row r="10" spans="1:4" ht="14.4" x14ac:dyDescent="0.3">
      <c r="A10" s="2">
        <v>3</v>
      </c>
      <c r="B10" s="2">
        <v>2026</v>
      </c>
      <c r="C10" s="2" t="s">
        <v>10</v>
      </c>
      <c r="D10" s="50">
        <v>36440778</v>
      </c>
    </row>
    <row r="11" spans="1:4" ht="14.4" x14ac:dyDescent="0.3">
      <c r="A11" s="2">
        <v>3</v>
      </c>
      <c r="B11" s="2">
        <v>2026</v>
      </c>
      <c r="C11" s="2" t="s">
        <v>14</v>
      </c>
      <c r="D11" s="50">
        <v>22093499</v>
      </c>
    </row>
    <row r="12" spans="1:4" ht="14.4" x14ac:dyDescent="0.3">
      <c r="A12" s="2">
        <v>3</v>
      </c>
      <c r="B12" s="2">
        <v>2026</v>
      </c>
      <c r="C12" s="2" t="s">
        <v>21</v>
      </c>
      <c r="D12" s="50">
        <v>75324155</v>
      </c>
    </row>
    <row r="13" spans="1:4" ht="14.4" x14ac:dyDescent="0.3">
      <c r="A13" s="2">
        <v>3</v>
      </c>
      <c r="B13" s="2">
        <v>2026</v>
      </c>
      <c r="C13" s="2" t="s">
        <v>24</v>
      </c>
      <c r="D13" s="50">
        <v>40653154</v>
      </c>
    </row>
    <row r="14" spans="1:4" ht="14.4" x14ac:dyDescent="0.3">
      <c r="A14" s="2">
        <v>4</v>
      </c>
      <c r="B14" s="2">
        <v>2026</v>
      </c>
      <c r="C14" s="2" t="s">
        <v>10</v>
      </c>
      <c r="D14" s="50">
        <v>34575269</v>
      </c>
    </row>
    <row r="15" spans="1:4" ht="14.4" x14ac:dyDescent="0.3">
      <c r="A15" s="2">
        <v>4</v>
      </c>
      <c r="B15" s="2">
        <v>2026</v>
      </c>
      <c r="C15" s="2" t="s">
        <v>14</v>
      </c>
      <c r="D15" s="50">
        <v>52847661</v>
      </c>
    </row>
    <row r="16" spans="1:4" ht="14.4" x14ac:dyDescent="0.3">
      <c r="A16" s="2">
        <v>4</v>
      </c>
      <c r="B16" s="2">
        <v>2026</v>
      </c>
      <c r="C16" s="2" t="s">
        <v>21</v>
      </c>
      <c r="D16" s="50">
        <v>93825902</v>
      </c>
    </row>
    <row r="17" spans="1:4" ht="14.4" x14ac:dyDescent="0.3">
      <c r="A17" s="2">
        <v>4</v>
      </c>
      <c r="B17" s="2">
        <v>2026</v>
      </c>
      <c r="C17" s="2" t="s">
        <v>24</v>
      </c>
      <c r="D17" s="50">
        <v>29702122</v>
      </c>
    </row>
    <row r="18" spans="1:4" ht="14.4" x14ac:dyDescent="0.3">
      <c r="A18" s="2">
        <v>5</v>
      </c>
      <c r="B18" s="2">
        <v>2026</v>
      </c>
      <c r="C18" s="2" t="s">
        <v>10</v>
      </c>
      <c r="D18" s="50">
        <v>65767323</v>
      </c>
    </row>
    <row r="19" spans="1:4" ht="14.4" x14ac:dyDescent="0.3">
      <c r="A19" s="2">
        <v>5</v>
      </c>
      <c r="B19" s="2">
        <v>2026</v>
      </c>
      <c r="C19" s="2" t="s">
        <v>14</v>
      </c>
      <c r="D19" s="50">
        <v>94511411</v>
      </c>
    </row>
    <row r="20" spans="1:4" ht="14.4" x14ac:dyDescent="0.3">
      <c r="A20" s="2">
        <v>5</v>
      </c>
      <c r="B20" s="2">
        <v>2026</v>
      </c>
      <c r="C20" s="2" t="s">
        <v>21</v>
      </c>
      <c r="D20" s="50">
        <v>81151670</v>
      </c>
    </row>
    <row r="21" spans="1:4" ht="15.75" customHeight="1" x14ac:dyDescent="0.3">
      <c r="A21" s="2">
        <v>5</v>
      </c>
      <c r="B21" s="2">
        <v>2026</v>
      </c>
      <c r="C21" s="2" t="s">
        <v>24</v>
      </c>
      <c r="D21" s="50">
        <v>19777784</v>
      </c>
    </row>
    <row r="22" spans="1:4" ht="15.75" customHeight="1" x14ac:dyDescent="0.3">
      <c r="A22" s="2">
        <v>6</v>
      </c>
      <c r="B22" s="2">
        <v>2026</v>
      </c>
      <c r="C22" s="2" t="s">
        <v>10</v>
      </c>
      <c r="D22" s="50">
        <v>20789511</v>
      </c>
    </row>
    <row r="23" spans="1:4" ht="15.75" customHeight="1" x14ac:dyDescent="0.3">
      <c r="A23" s="2">
        <v>6</v>
      </c>
      <c r="B23" s="2">
        <v>2026</v>
      </c>
      <c r="C23" s="2" t="s">
        <v>14</v>
      </c>
      <c r="D23" s="50">
        <v>35360386</v>
      </c>
    </row>
    <row r="24" spans="1:4" ht="15.75" customHeight="1" x14ac:dyDescent="0.3">
      <c r="A24" s="2">
        <v>6</v>
      </c>
      <c r="B24" s="2">
        <v>2026</v>
      </c>
      <c r="C24" s="2" t="s">
        <v>21</v>
      </c>
      <c r="D24" s="50">
        <v>79311566</v>
      </c>
    </row>
    <row r="25" spans="1:4" ht="15.75" customHeight="1" x14ac:dyDescent="0.3">
      <c r="A25" s="2">
        <v>6</v>
      </c>
      <c r="B25" s="2">
        <v>2026</v>
      </c>
      <c r="C25" s="2" t="s">
        <v>24</v>
      </c>
      <c r="D25" s="50">
        <v>81104221</v>
      </c>
    </row>
    <row r="26" spans="1:4" ht="15.75" customHeight="1" x14ac:dyDescent="0.3">
      <c r="A26" s="2">
        <v>7</v>
      </c>
      <c r="B26" s="2">
        <v>2026</v>
      </c>
      <c r="C26" s="2" t="s">
        <v>10</v>
      </c>
      <c r="D26" s="50">
        <v>60577851</v>
      </c>
    </row>
    <row r="27" spans="1:4" ht="15.75" customHeight="1" x14ac:dyDescent="0.3">
      <c r="A27" s="2">
        <v>7</v>
      </c>
      <c r="B27" s="2">
        <v>2026</v>
      </c>
      <c r="C27" s="2" t="s">
        <v>14</v>
      </c>
      <c r="D27" s="50">
        <v>93043510</v>
      </c>
    </row>
    <row r="28" spans="1:4" ht="15.75" customHeight="1" x14ac:dyDescent="0.3">
      <c r="A28" s="2">
        <v>7</v>
      </c>
      <c r="B28" s="2">
        <v>2026</v>
      </c>
      <c r="C28" s="2" t="s">
        <v>21</v>
      </c>
      <c r="D28" s="50">
        <v>62449393</v>
      </c>
    </row>
    <row r="29" spans="1:4" ht="15.75" customHeight="1" x14ac:dyDescent="0.3">
      <c r="A29" s="2">
        <v>7</v>
      </c>
      <c r="B29" s="2">
        <v>2026</v>
      </c>
      <c r="C29" s="2" t="s">
        <v>24</v>
      </c>
      <c r="D29" s="50">
        <v>30732514</v>
      </c>
    </row>
    <row r="30" spans="1:4" ht="15.75" customHeight="1" x14ac:dyDescent="0.3">
      <c r="A30" s="2">
        <v>8</v>
      </c>
      <c r="B30" s="2">
        <v>2026</v>
      </c>
      <c r="C30" s="2" t="s">
        <v>10</v>
      </c>
      <c r="D30" s="50">
        <v>35393478</v>
      </c>
    </row>
    <row r="31" spans="1:4" ht="15.75" customHeight="1" x14ac:dyDescent="0.3">
      <c r="A31" s="2">
        <v>8</v>
      </c>
      <c r="B31" s="2">
        <v>2026</v>
      </c>
      <c r="C31" s="2" t="s">
        <v>14</v>
      </c>
      <c r="D31" s="50">
        <v>24039575</v>
      </c>
    </row>
    <row r="32" spans="1:4" ht="15.75" customHeight="1" x14ac:dyDescent="0.3">
      <c r="A32" s="2">
        <v>8</v>
      </c>
      <c r="B32" s="2">
        <v>2026</v>
      </c>
      <c r="C32" s="2" t="s">
        <v>21</v>
      </c>
      <c r="D32" s="50">
        <v>68745416</v>
      </c>
    </row>
    <row r="33" spans="1:4" ht="15.75" customHeight="1" x14ac:dyDescent="0.3">
      <c r="A33" s="2">
        <v>8</v>
      </c>
      <c r="B33" s="2">
        <v>2026</v>
      </c>
      <c r="C33" s="2" t="s">
        <v>24</v>
      </c>
      <c r="D33" s="50">
        <v>93166062</v>
      </c>
    </row>
    <row r="34" spans="1:4" ht="15.75" customHeight="1" x14ac:dyDescent="0.3">
      <c r="A34" s="2">
        <v>9</v>
      </c>
      <c r="B34" s="2">
        <v>2026</v>
      </c>
      <c r="C34" s="2" t="s">
        <v>10</v>
      </c>
      <c r="D34" s="50">
        <v>31095278</v>
      </c>
    </row>
    <row r="35" spans="1:4" ht="15.75" customHeight="1" x14ac:dyDescent="0.3">
      <c r="A35" s="2">
        <v>9</v>
      </c>
      <c r="B35" s="2">
        <v>2026</v>
      </c>
      <c r="C35" s="2" t="s">
        <v>14</v>
      </c>
      <c r="D35" s="50">
        <v>79812773</v>
      </c>
    </row>
    <row r="36" spans="1:4" ht="15.75" customHeight="1" x14ac:dyDescent="0.3">
      <c r="A36" s="2">
        <v>9</v>
      </c>
      <c r="B36" s="2">
        <v>2026</v>
      </c>
      <c r="C36" s="2" t="s">
        <v>21</v>
      </c>
      <c r="D36" s="50">
        <v>71540540</v>
      </c>
    </row>
    <row r="37" spans="1:4" ht="15.75" customHeight="1" x14ac:dyDescent="0.3">
      <c r="A37" s="2">
        <v>9</v>
      </c>
      <c r="B37" s="2">
        <v>2026</v>
      </c>
      <c r="C37" s="2" t="s">
        <v>24</v>
      </c>
      <c r="D37" s="50">
        <v>18107867</v>
      </c>
    </row>
    <row r="38" spans="1:4" ht="15.75" customHeight="1" x14ac:dyDescent="0.3">
      <c r="A38" s="2">
        <v>10</v>
      </c>
      <c r="B38" s="2">
        <v>2026</v>
      </c>
      <c r="C38" s="2" t="s">
        <v>10</v>
      </c>
      <c r="D38" s="50">
        <v>20748438</v>
      </c>
    </row>
    <row r="39" spans="1:4" ht="15.75" customHeight="1" x14ac:dyDescent="0.3">
      <c r="A39" s="2">
        <v>10</v>
      </c>
      <c r="B39" s="2">
        <v>2026</v>
      </c>
      <c r="C39" s="2" t="s">
        <v>14</v>
      </c>
      <c r="D39" s="50">
        <v>53944476</v>
      </c>
    </row>
    <row r="40" spans="1:4" ht="15.75" customHeight="1" x14ac:dyDescent="0.3">
      <c r="A40" s="2">
        <v>10</v>
      </c>
      <c r="B40" s="2">
        <v>2026</v>
      </c>
      <c r="C40" s="2" t="s">
        <v>21</v>
      </c>
      <c r="D40" s="50">
        <v>27534206</v>
      </c>
    </row>
    <row r="41" spans="1:4" ht="15.75" customHeight="1" x14ac:dyDescent="0.3">
      <c r="A41" s="2">
        <v>10</v>
      </c>
      <c r="B41" s="2">
        <v>2026</v>
      </c>
      <c r="C41" s="2" t="s">
        <v>24</v>
      </c>
      <c r="D41" s="50">
        <v>44062922</v>
      </c>
    </row>
    <row r="42" spans="1:4" ht="15.75" customHeight="1" x14ac:dyDescent="0.3">
      <c r="A42" s="2">
        <v>11</v>
      </c>
      <c r="B42" s="2">
        <v>2026</v>
      </c>
      <c r="C42" s="2" t="s">
        <v>10</v>
      </c>
      <c r="D42" s="50">
        <v>30727000</v>
      </c>
    </row>
    <row r="43" spans="1:4" ht="15.75" customHeight="1" x14ac:dyDescent="0.3">
      <c r="A43" s="2">
        <v>11</v>
      </c>
      <c r="B43" s="2">
        <v>2026</v>
      </c>
      <c r="C43" s="2" t="s">
        <v>14</v>
      </c>
      <c r="D43" s="50">
        <v>37729198</v>
      </c>
    </row>
    <row r="44" spans="1:4" ht="15.75" customHeight="1" x14ac:dyDescent="0.3">
      <c r="A44" s="2">
        <v>11</v>
      </c>
      <c r="B44" s="2">
        <v>2026</v>
      </c>
      <c r="C44" s="2" t="s">
        <v>21</v>
      </c>
      <c r="D44" s="50">
        <v>64770719</v>
      </c>
    </row>
    <row r="45" spans="1:4" ht="15.75" customHeight="1" x14ac:dyDescent="0.3">
      <c r="A45" s="2">
        <v>11</v>
      </c>
      <c r="B45" s="2">
        <v>2026</v>
      </c>
      <c r="C45" s="2" t="s">
        <v>24</v>
      </c>
      <c r="D45" s="50">
        <v>56666514</v>
      </c>
    </row>
    <row r="46" spans="1:4" ht="15.75" customHeight="1" x14ac:dyDescent="0.3">
      <c r="A46" s="2">
        <v>12</v>
      </c>
      <c r="B46" s="2">
        <v>2026</v>
      </c>
      <c r="C46" s="2" t="s">
        <v>10</v>
      </c>
      <c r="D46" s="50">
        <v>60262130</v>
      </c>
    </row>
    <row r="47" spans="1:4" ht="15.75" customHeight="1" x14ac:dyDescent="0.3">
      <c r="A47" s="2">
        <v>12</v>
      </c>
      <c r="B47" s="2">
        <v>2026</v>
      </c>
      <c r="C47" s="2" t="s">
        <v>14</v>
      </c>
      <c r="D47" s="50">
        <v>38103592</v>
      </c>
    </row>
    <row r="48" spans="1:4" ht="15.75" customHeight="1" x14ac:dyDescent="0.3">
      <c r="A48" s="2">
        <v>12</v>
      </c>
      <c r="B48" s="2">
        <v>2026</v>
      </c>
      <c r="C48" s="2" t="s">
        <v>21</v>
      </c>
      <c r="D48" s="50">
        <v>91511573</v>
      </c>
    </row>
    <row r="49" spans="1:4" ht="15.75" customHeight="1" x14ac:dyDescent="0.3">
      <c r="A49" s="2">
        <v>12</v>
      </c>
      <c r="B49" s="2">
        <v>2026</v>
      </c>
      <c r="C49" s="2" t="s">
        <v>24</v>
      </c>
      <c r="D49" s="50">
        <v>30075812</v>
      </c>
    </row>
    <row r="50" spans="1:4" ht="15.75" customHeight="1" x14ac:dyDescent="0.3"/>
    <row r="51" spans="1:4" ht="15.75" customHeight="1" x14ac:dyDescent="0.3"/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BDA7-6514-425E-BB58-1F68A704A185}">
  <dimension ref="A1:F9"/>
  <sheetViews>
    <sheetView workbookViewId="0">
      <selection activeCell="G3" sqref="G3"/>
    </sheetView>
  </sheetViews>
  <sheetFormatPr baseColWidth="10" defaultRowHeight="14.4" x14ac:dyDescent="0.3"/>
  <cols>
    <col min="1" max="1" width="24.33203125" customWidth="1"/>
    <col min="2" max="2" width="15.21875" customWidth="1"/>
    <col min="3" max="3" width="23.5546875" customWidth="1"/>
  </cols>
  <sheetData>
    <row r="1" spans="1:6" ht="18" x14ac:dyDescent="0.35">
      <c r="A1" s="61" t="s">
        <v>538</v>
      </c>
      <c r="B1" s="61"/>
      <c r="F1" s="41"/>
    </row>
    <row r="3" spans="1:6" ht="15.6" x14ac:dyDescent="0.3">
      <c r="A3" s="13" t="s">
        <v>539</v>
      </c>
      <c r="B3" s="13" t="s">
        <v>540</v>
      </c>
      <c r="C3" s="13" t="s">
        <v>541</v>
      </c>
    </row>
    <row r="4" spans="1:6" x14ac:dyDescent="0.3">
      <c r="A4" s="15" t="s">
        <v>542</v>
      </c>
      <c r="B4" s="15" t="s">
        <v>545</v>
      </c>
      <c r="C4" s="62" t="s">
        <v>547</v>
      </c>
      <c r="D4" s="62"/>
    </row>
    <row r="5" spans="1:6" x14ac:dyDescent="0.3">
      <c r="A5" s="15" t="s">
        <v>543</v>
      </c>
      <c r="B5" s="15" t="s">
        <v>546</v>
      </c>
      <c r="C5" s="62" t="s">
        <v>548</v>
      </c>
      <c r="D5" s="62"/>
    </row>
    <row r="6" spans="1:6" x14ac:dyDescent="0.3">
      <c r="A6" s="15" t="s">
        <v>544</v>
      </c>
      <c r="B6" s="15" t="s">
        <v>546</v>
      </c>
      <c r="C6" s="62" t="s">
        <v>549</v>
      </c>
      <c r="D6" s="62"/>
    </row>
    <row r="8" spans="1:6" ht="18" x14ac:dyDescent="0.35">
      <c r="A8" s="14" t="s">
        <v>550</v>
      </c>
    </row>
    <row r="9" spans="1:6" x14ac:dyDescent="0.3">
      <c r="A9" s="62" t="s">
        <v>551</v>
      </c>
      <c r="B9" s="62"/>
      <c r="C9" s="62"/>
    </row>
  </sheetData>
  <mergeCells count="5">
    <mergeCell ref="A1:B1"/>
    <mergeCell ref="A9:C9"/>
    <mergeCell ref="C4:D4"/>
    <mergeCell ref="C5:D5"/>
    <mergeCell ref="C6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2E367C1F-1F85-46C0-BC5C-456969936BDE}">
  <ds:schemaRefs/>
</ds:datastoreItem>
</file>

<file path=customXml/itemProps2.xml><?xml version="1.0" encoding="utf-8"?>
<ds:datastoreItem xmlns:ds="http://schemas.openxmlformats.org/officeDocument/2006/customXml" ds:itemID="{9367DAAD-95A5-4FC7-AECF-A1F1A94B8AC3}">
  <ds:schemaRefs/>
</ds:datastoreItem>
</file>

<file path=customXml/itemProps3.xml><?xml version="1.0" encoding="utf-8"?>
<ds:datastoreItem xmlns:ds="http://schemas.openxmlformats.org/officeDocument/2006/customXml" ds:itemID="{86131000-C752-4A19-A49A-3EB2958E5F22}">
  <ds:schemaRefs/>
</ds:datastoreItem>
</file>

<file path=customXml/itemProps4.xml><?xml version="1.0" encoding="utf-8"?>
<ds:datastoreItem xmlns:ds="http://schemas.openxmlformats.org/officeDocument/2006/customXml" ds:itemID="{B7E2F907-B57D-4D17-87AD-68D60DE0C440}">
  <ds:schemaRefs/>
</ds:datastoreItem>
</file>

<file path=customXml/itemProps5.xml><?xml version="1.0" encoding="utf-8"?>
<ds:datastoreItem xmlns:ds="http://schemas.openxmlformats.org/officeDocument/2006/customXml" ds:itemID="{8462AC18-8D29-43FD-BD5C-9982CAFDA8C3}">
  <ds:schemaRefs/>
</ds:datastoreItem>
</file>

<file path=customXml/itemProps6.xml><?xml version="1.0" encoding="utf-8"?>
<ds:datastoreItem xmlns:ds="http://schemas.openxmlformats.org/officeDocument/2006/customXml" ds:itemID="{00519AE2-3CC0-43F4-BBF4-9CEEC4CC367C}">
  <ds:schemaRefs/>
</ds:datastoreItem>
</file>

<file path=customXml/itemProps7.xml><?xml version="1.0" encoding="utf-8"?>
<ds:datastoreItem xmlns:ds="http://schemas.openxmlformats.org/officeDocument/2006/customXml" ds:itemID="{F4210B5E-0992-442A-9708-72805FD25DDA}">
  <ds:schemaRefs/>
</ds:datastoreItem>
</file>

<file path=customXml/itemProps8.xml><?xml version="1.0" encoding="utf-8"?>
<ds:datastoreItem xmlns:ds="http://schemas.openxmlformats.org/officeDocument/2006/customXml" ds:itemID="{947C3D1A-F4D3-4852-9B4C-BDE1B40651A7}">
  <ds:schemaRefs/>
</ds:datastoreItem>
</file>

<file path=customXml/itemProps9.xml><?xml version="1.0" encoding="utf-8"?>
<ds:datastoreItem xmlns:ds="http://schemas.openxmlformats.org/officeDocument/2006/customXml" ds:itemID="{ACA4B344-A509-40FC-B8E0-D312B7304279}">
  <ds:schemaRefs/>
</ds:datastoreItem>
</file>

<file path=customXml/itemProps10.xml><?xml version="1.0" encoding="utf-8"?>
<ds:datastoreItem xmlns:ds="http://schemas.openxmlformats.org/officeDocument/2006/customXml" ds:itemID="{0FE0BBCC-C2F2-4114-9EA1-C79EED8B56F2}">
  <ds:schemaRefs/>
</ds:datastoreItem>
</file>

<file path=customXml/itemProps11.xml><?xml version="1.0" encoding="utf-8"?>
<ds:datastoreItem xmlns:ds="http://schemas.openxmlformats.org/officeDocument/2006/customXml" ds:itemID="{6E528544-0334-463F-8D3C-7CE14304D32E}">
  <ds:schemaRefs/>
</ds:datastoreItem>
</file>

<file path=customXml/itemProps12.xml><?xml version="1.0" encoding="utf-8"?>
<ds:datastoreItem xmlns:ds="http://schemas.openxmlformats.org/officeDocument/2006/customXml" ds:itemID="{946D06A2-A3AE-45E4-9F02-723CCFEC5028}">
  <ds:schemaRefs/>
</ds:datastoreItem>
</file>

<file path=customXml/itemProps13.xml><?xml version="1.0" encoding="utf-8"?>
<ds:datastoreItem xmlns:ds="http://schemas.openxmlformats.org/officeDocument/2006/customXml" ds:itemID="{4A0B1949-46DD-4787-85A3-225F882EDCB3}">
  <ds:schemaRefs/>
</ds:datastoreItem>
</file>

<file path=customXml/itemProps14.xml><?xml version="1.0" encoding="utf-8"?>
<ds:datastoreItem xmlns:ds="http://schemas.openxmlformats.org/officeDocument/2006/customXml" ds:itemID="{2946CFD2-3DE5-4C08-8450-51D248043966}">
  <ds:schemaRefs/>
</ds:datastoreItem>
</file>

<file path=customXml/itemProps15.xml><?xml version="1.0" encoding="utf-8"?>
<ds:datastoreItem xmlns:ds="http://schemas.openxmlformats.org/officeDocument/2006/customXml" ds:itemID="{C453FD60-66B0-4CDA-89A6-C7C495821D51}">
  <ds:schemaRefs/>
</ds:datastoreItem>
</file>

<file path=customXml/itemProps16.xml><?xml version="1.0" encoding="utf-8"?>
<ds:datastoreItem xmlns:ds="http://schemas.openxmlformats.org/officeDocument/2006/customXml" ds:itemID="{D666F9D7-7429-4098-8F8C-CC5AA708E4D5}">
  <ds:schemaRefs/>
</ds:datastoreItem>
</file>

<file path=customXml/itemProps17.xml><?xml version="1.0" encoding="utf-8"?>
<ds:datastoreItem xmlns:ds="http://schemas.openxmlformats.org/officeDocument/2006/customXml" ds:itemID="{3ED0C5DE-4864-4464-8694-11C566775BC7}">
  <ds:schemaRefs/>
</ds:datastoreItem>
</file>

<file path=customXml/itemProps18.xml><?xml version="1.0" encoding="utf-8"?>
<ds:datastoreItem xmlns:ds="http://schemas.openxmlformats.org/officeDocument/2006/customXml" ds:itemID="{F33FC4D3-DF62-4821-A835-4190CC49F2AE}">
  <ds:schemaRefs/>
</ds:datastoreItem>
</file>

<file path=customXml/itemProps19.xml><?xml version="1.0" encoding="utf-8"?>
<ds:datastoreItem xmlns:ds="http://schemas.openxmlformats.org/officeDocument/2006/customXml" ds:itemID="{503E3019-BB1D-47EB-B9EA-CCE377794FF9}">
  <ds:schemaRefs/>
</ds:datastoreItem>
</file>

<file path=customXml/itemProps20.xml><?xml version="1.0" encoding="utf-8"?>
<ds:datastoreItem xmlns:ds="http://schemas.openxmlformats.org/officeDocument/2006/customXml" ds:itemID="{B0D326A9-A00E-4D87-ABA3-1525E234B2AD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83FF003F-231A-4E7A-AF91-611987D6E2FD}">
  <ds:schemaRefs/>
</ds:datastoreItem>
</file>

<file path=customXml/itemProps22.xml><?xml version="1.0" encoding="utf-8"?>
<ds:datastoreItem xmlns:ds="http://schemas.openxmlformats.org/officeDocument/2006/customXml" ds:itemID="{EC13A669-7BD6-41DF-9F46-D4BACB924107}">
  <ds:schemaRefs/>
</ds:datastoreItem>
</file>

<file path=customXml/itemProps23.xml><?xml version="1.0" encoding="utf-8"?>
<ds:datastoreItem xmlns:ds="http://schemas.openxmlformats.org/officeDocument/2006/customXml" ds:itemID="{69B56078-8625-43C6-92C4-C4385F781371}">
  <ds:schemaRefs/>
</ds:datastoreItem>
</file>

<file path=customXml/itemProps24.xml><?xml version="1.0" encoding="utf-8"?>
<ds:datastoreItem xmlns:ds="http://schemas.openxmlformats.org/officeDocument/2006/customXml" ds:itemID="{6F5A3E29-6144-461F-96C0-96BE20474C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Dashboard</vt:lpstr>
      <vt:lpstr>Tablas_Dinamicas</vt:lpstr>
      <vt:lpstr>Dataset_Principal</vt:lpstr>
      <vt:lpstr>Cat_Productos</vt:lpstr>
      <vt:lpstr>Cat_Clientes</vt:lpstr>
      <vt:lpstr>Fact_Objetivos</vt:lpstr>
      <vt:lpstr>Documentación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Martin Bellusci</cp:lastModifiedBy>
  <dcterms:created xsi:type="dcterms:W3CDTF">2026-05-27T11:36:28Z</dcterms:created>
  <dcterms:modified xsi:type="dcterms:W3CDTF">2026-09-08T23:24:26Z</dcterms:modified>
</cp:coreProperties>
</file>